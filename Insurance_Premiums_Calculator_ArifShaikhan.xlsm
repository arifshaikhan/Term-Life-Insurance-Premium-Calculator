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192eb68a6582192/Excel Lesson/Final Project/"/>
    </mc:Choice>
  </mc:AlternateContent>
  <xr:revisionPtr revIDLastSave="0" documentId="8_{C6EAFCE2-FC51-424A-9128-A787C8C73558}" xr6:coauthVersionLast="47" xr6:coauthVersionMax="47" xr10:uidLastSave="{00000000-0000-0000-0000-000000000000}"/>
  <bookViews>
    <workbookView xWindow="-108" yWindow="-108" windowWidth="23256" windowHeight="12456" xr2:uid="{F5E4FC16-53F6-48C7-AA62-85727E45D8F6}"/>
  </bookViews>
  <sheets>
    <sheet name="Cover" sheetId="1" r:id="rId1"/>
    <sheet name="Inputs" sheetId="2" r:id="rId2"/>
    <sheet name="Rates" sheetId="3" r:id="rId3"/>
    <sheet name="Calc" sheetId="4" r:id="rId4"/>
    <sheet name="Report" sheetId="21" r:id="rId5"/>
    <sheet name="Outputs" sheetId="5" r:id="rId6"/>
    <sheet name="Charts" sheetId="6" r:id="rId7"/>
    <sheet name="Notes" sheetId="7" r:id="rId8"/>
  </sheets>
  <definedNames>
    <definedName name="_xleta.LOWER" hidden="1" xlm="1">#NAME?</definedName>
    <definedName name="_xleta.SWITCH" hidden="1" xlm="1">#NAME?</definedName>
    <definedName name="Age">Inputs!$C$3</definedName>
    <definedName name="Final_Premium">Inputs!$C$11</definedName>
    <definedName name="Gender">Inputs!$C$4</definedName>
    <definedName name="Interest_Rate">Inputs!$C$10</definedName>
    <definedName name="Loading">Inputs!$C$9</definedName>
    <definedName name="Payment_Mode">Inputs!$C$8</definedName>
    <definedName name="Policy_Term">Inputs!$C$6</definedName>
    <definedName name="Premium_Frequency">Inputs!$C$8</definedName>
    <definedName name="RiskCategory">Calc!$B$3</definedName>
    <definedName name="Smoker">Inputs!$C$5</definedName>
    <definedName name="Sum_Assured__RM">Inputs!$C$7</definedName>
    <definedName name="Term__years">Inputs!$C$6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5" l="1"/>
  <c r="B10" i="5"/>
  <c r="B9" i="4"/>
  <c r="B17" i="4" a="1"/>
  <c r="B17" i="4" s="1"/>
  <c r="B14" i="4"/>
  <c r="B15" i="4" s="1"/>
  <c r="B6" i="5"/>
  <c r="B7" i="5"/>
  <c r="B8" i="5"/>
  <c r="B9" i="5"/>
  <c r="B11" i="5"/>
  <c r="B5" i="5"/>
  <c r="B3" i="4"/>
  <c r="B5" i="4"/>
  <c r="B6" i="4"/>
  <c r="B7" i="4"/>
  <c r="B8" i="4"/>
  <c r="B10" i="4"/>
  <c r="B4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C15" i="3" s="1"/>
  <c r="B16" i="3"/>
  <c r="B17" i="3"/>
  <c r="B18" i="3"/>
  <c r="B19" i="3"/>
  <c r="B20" i="3"/>
  <c r="B21" i="3"/>
  <c r="C21" i="3" s="1"/>
  <c r="B22" i="3"/>
  <c r="B23" i="3"/>
  <c r="B24" i="3"/>
  <c r="C24" i="3" s="1"/>
  <c r="B25" i="3"/>
  <c r="B26" i="3"/>
  <c r="B27" i="3"/>
  <c r="C27" i="3" s="1"/>
  <c r="B28" i="3"/>
  <c r="B29" i="3"/>
  <c r="B30" i="3"/>
  <c r="C30" i="3" s="1"/>
  <c r="B31" i="3"/>
  <c r="C31" i="3" s="1"/>
  <c r="D31" i="3"/>
  <c r="E31" i="3" s="1"/>
  <c r="B32" i="3"/>
  <c r="B33" i="3"/>
  <c r="C33" i="3" s="1"/>
  <c r="B34" i="3"/>
  <c r="B35" i="3"/>
  <c r="B36" i="3"/>
  <c r="C36" i="3" s="1"/>
  <c r="B37" i="3"/>
  <c r="B38" i="3"/>
  <c r="B39" i="3"/>
  <c r="C39" i="3" s="1"/>
  <c r="B40" i="3"/>
  <c r="B41" i="3"/>
  <c r="B42" i="3"/>
  <c r="C42" i="3" s="1"/>
  <c r="B43" i="3"/>
  <c r="B44" i="3"/>
  <c r="B45" i="3"/>
  <c r="C45" i="3" s="1"/>
  <c r="B46" i="3"/>
  <c r="B47" i="3"/>
  <c r="B48" i="3"/>
  <c r="C48" i="3" s="1"/>
  <c r="B49" i="3"/>
  <c r="B50" i="3"/>
  <c r="D50" i="3" s="1"/>
  <c r="E50" i="3" s="1"/>
  <c r="C50" i="3"/>
  <c r="B51" i="3"/>
  <c r="C51" i="3" s="1"/>
  <c r="B52" i="3"/>
  <c r="B53" i="3"/>
  <c r="B54" i="3"/>
  <c r="C54" i="3" s="1"/>
  <c r="B55" i="3"/>
  <c r="B56" i="3"/>
  <c r="B57" i="3"/>
  <c r="C57" i="3" s="1"/>
  <c r="B58" i="3"/>
  <c r="B59" i="3"/>
  <c r="B60" i="3"/>
  <c r="C60" i="3" s="1"/>
  <c r="B61" i="3"/>
  <c r="B62" i="3"/>
  <c r="B63" i="3"/>
  <c r="C63" i="3" s="1"/>
  <c r="B64" i="3"/>
  <c r="B2" i="3"/>
  <c r="C4" i="3" l="1"/>
  <c r="D4" i="3"/>
  <c r="E4" i="3" s="1"/>
  <c r="C40" i="3"/>
  <c r="D40" i="3"/>
  <c r="E40" i="3" s="1"/>
  <c r="D58" i="3"/>
  <c r="E58" i="3" s="1"/>
  <c r="C58" i="3"/>
  <c r="C9" i="3"/>
  <c r="D9" i="3"/>
  <c r="E9" i="3" s="1"/>
  <c r="C22" i="3"/>
  <c r="D22" i="3"/>
  <c r="E22" i="3" s="1"/>
  <c r="D29" i="3"/>
  <c r="E29" i="3" s="1"/>
  <c r="C29" i="3"/>
  <c r="C52" i="3"/>
  <c r="D52" i="3"/>
  <c r="E52" i="3" s="1"/>
  <c r="D61" i="3"/>
  <c r="E61" i="3" s="1"/>
  <c r="C61" i="3"/>
  <c r="D64" i="3"/>
  <c r="E64" i="3" s="1"/>
  <c r="C64" i="3"/>
  <c r="C5" i="3"/>
  <c r="D5" i="3"/>
  <c r="E5" i="3" s="1"/>
  <c r="C10" i="3"/>
  <c r="D10" i="3"/>
  <c r="E10" i="3" s="1"/>
  <c r="C11" i="3"/>
  <c r="D11" i="3"/>
  <c r="E11" i="3" s="1"/>
  <c r="C16" i="3"/>
  <c r="D16" i="3"/>
  <c r="E16" i="3" s="1"/>
  <c r="C34" i="3"/>
  <c r="D34" i="3"/>
  <c r="E34" i="3" s="1"/>
  <c r="D43" i="3"/>
  <c r="E43" i="3" s="1"/>
  <c r="C43" i="3"/>
  <c r="C55" i="3"/>
  <c r="D55" i="3"/>
  <c r="E55" i="3" s="1"/>
  <c r="C6" i="3"/>
  <c r="D6" i="3"/>
  <c r="E6" i="3" s="1"/>
  <c r="D23" i="3"/>
  <c r="E23" i="3" s="1"/>
  <c r="C23" i="3"/>
  <c r="C25" i="3"/>
  <c r="D25" i="3"/>
  <c r="E25" i="3" s="1"/>
  <c r="C32" i="3"/>
  <c r="D32" i="3"/>
  <c r="E32" i="3" s="1"/>
  <c r="D35" i="3"/>
  <c r="E35" i="3" s="1"/>
  <c r="C35" i="3"/>
  <c r="C37" i="3"/>
  <c r="D37" i="3"/>
  <c r="E37" i="3" s="1"/>
  <c r="C38" i="3"/>
  <c r="D38" i="3"/>
  <c r="E38" i="3" s="1"/>
  <c r="C41" i="3"/>
  <c r="D41" i="3"/>
  <c r="E41" i="3" s="1"/>
  <c r="C53" i="3"/>
  <c r="D53" i="3"/>
  <c r="E53" i="3" s="1"/>
  <c r="C56" i="3"/>
  <c r="D56" i="3"/>
  <c r="E56" i="3" s="1"/>
  <c r="C59" i="3"/>
  <c r="D59" i="3"/>
  <c r="E59" i="3" s="1"/>
  <c r="C62" i="3"/>
  <c r="D62" i="3"/>
  <c r="E62" i="3" s="1"/>
  <c r="C14" i="3"/>
  <c r="D14" i="3"/>
  <c r="E14" i="3" s="1"/>
  <c r="C26" i="3"/>
  <c r="D26" i="3"/>
  <c r="E26" i="3" s="1"/>
  <c r="C28" i="3"/>
  <c r="D28" i="3"/>
  <c r="E28" i="3" s="1"/>
  <c r="D44" i="3"/>
  <c r="E44" i="3" s="1"/>
  <c r="C44" i="3"/>
  <c r="D46" i="3"/>
  <c r="E46" i="3" s="1"/>
  <c r="C46" i="3"/>
  <c r="D47" i="3"/>
  <c r="E47" i="3" s="1"/>
  <c r="C47" i="3"/>
  <c r="C49" i="3"/>
  <c r="D49" i="3"/>
  <c r="E49" i="3" s="1"/>
  <c r="B13" i="4"/>
  <c r="B16" i="4" s="1"/>
  <c r="C3" i="3"/>
  <c r="D3" i="3"/>
  <c r="E3" i="3" s="1"/>
  <c r="C7" i="3"/>
  <c r="D7" i="3"/>
  <c r="E7" i="3" s="1"/>
  <c r="C8" i="3"/>
  <c r="D8" i="3"/>
  <c r="E8" i="3" s="1"/>
  <c r="C12" i="3"/>
  <c r="D12" i="3"/>
  <c r="E12" i="3" s="1"/>
  <c r="C13" i="3"/>
  <c r="D13" i="3"/>
  <c r="E13" i="3" s="1"/>
  <c r="C17" i="3"/>
  <c r="D17" i="3"/>
  <c r="E17" i="3" s="1"/>
  <c r="C18" i="3"/>
  <c r="D18" i="3"/>
  <c r="E18" i="3" s="1"/>
  <c r="C19" i="3"/>
  <c r="D19" i="3"/>
  <c r="E19" i="3" s="1"/>
  <c r="C20" i="3"/>
  <c r="D20" i="3"/>
  <c r="E20" i="3" s="1"/>
  <c r="D2" i="3"/>
  <c r="E2" i="3" s="1"/>
  <c r="C2" i="3"/>
  <c r="D63" i="3"/>
  <c r="E63" i="3" s="1"/>
  <c r="D60" i="3"/>
  <c r="E60" i="3" s="1"/>
  <c r="D57" i="3"/>
  <c r="E57" i="3" s="1"/>
  <c r="D54" i="3"/>
  <c r="E54" i="3" s="1"/>
  <c r="D51" i="3"/>
  <c r="E51" i="3" s="1"/>
  <c r="D48" i="3"/>
  <c r="E48" i="3" s="1"/>
  <c r="D45" i="3"/>
  <c r="E45" i="3" s="1"/>
  <c r="D42" i="3"/>
  <c r="E42" i="3" s="1"/>
  <c r="D39" i="3"/>
  <c r="E39" i="3" s="1"/>
  <c r="D36" i="3"/>
  <c r="E36" i="3" s="1"/>
  <c r="D33" i="3"/>
  <c r="E33" i="3" s="1"/>
  <c r="D30" i="3"/>
  <c r="E30" i="3" s="1"/>
  <c r="D27" i="3"/>
  <c r="E27" i="3" s="1"/>
  <c r="D24" i="3"/>
  <c r="E24" i="3" s="1"/>
  <c r="D21" i="3"/>
  <c r="E21" i="3" s="1"/>
  <c r="D15" i="3"/>
  <c r="E15" i="3" s="1"/>
  <c r="F8" i="5" l="1"/>
  <c r="F6" i="5"/>
  <c r="F5" i="5"/>
  <c r="F7" i="5"/>
  <c r="B18" i="4"/>
  <c r="B14" i="5"/>
  <c r="B13" i="5"/>
  <c r="B18" i="5" l="1"/>
  <c r="B15" i="5"/>
  <c r="B21" i="4"/>
  <c r="C13" i="2" l="1"/>
  <c r="B1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<sst xmlns="http://schemas.openxmlformats.org/spreadsheetml/2006/main" count="135" uniqueCount="115">
  <si>
    <t>Age</t>
  </si>
  <si>
    <t>Gender</t>
  </si>
  <si>
    <t>Smoker</t>
  </si>
  <si>
    <t>Loading (%)</t>
  </si>
  <si>
    <t>Interest Rate (%)</t>
  </si>
  <si>
    <t>Male-NS</t>
  </si>
  <si>
    <t>Female-NS</t>
  </si>
  <si>
    <t>Male-S</t>
  </si>
  <si>
    <t>Female-S</t>
  </si>
  <si>
    <t>Policy Term</t>
  </si>
  <si>
    <t>Payment Mode</t>
  </si>
  <si>
    <t>Smoker Status</t>
  </si>
  <si>
    <t>Step 1 : Base Premium Rate</t>
  </si>
  <si>
    <t>Final Premium</t>
  </si>
  <si>
    <t>Base Premium Rate per 1000</t>
  </si>
  <si>
    <t>Annual Premium</t>
  </si>
  <si>
    <t xml:space="preserve">Sum Assured </t>
  </si>
  <si>
    <t>Male</t>
  </si>
  <si>
    <t>Assumptions</t>
  </si>
  <si>
    <t>Learning Log</t>
  </si>
  <si>
    <t>Total Premium over Term</t>
  </si>
  <si>
    <t>Insurance Premium Calculator - Results</t>
  </si>
  <si>
    <t>S</t>
  </si>
  <si>
    <t xml:space="preserve">Observations: Premiums rise with age, smoker status increases premiums, and males typically higher risk than females.  </t>
  </si>
  <si>
    <t xml:space="preserve">This reflects real-world actuarial pricing concepts.  </t>
  </si>
  <si>
    <t>Annual</t>
  </si>
  <si>
    <t>Monthly</t>
  </si>
  <si>
    <t>Quarterly</t>
  </si>
  <si>
    <t>Semi-annual</t>
  </si>
  <si>
    <t>Step 2 : Discount factor per Year</t>
  </si>
  <si>
    <t>Step 3 : Term Discount Factor</t>
  </si>
  <si>
    <t>Step 4 : Annual Premium</t>
  </si>
  <si>
    <t>Step 6 : Mode Premium</t>
  </si>
  <si>
    <t>Step 5 : Payment Mode Factor</t>
  </si>
  <si>
    <t xml:space="preserve">Final Premium </t>
  </si>
  <si>
    <t>Payment Mode Premium</t>
  </si>
  <si>
    <t>Quotation Date: 27-Sep-2025</t>
  </si>
  <si>
    <t>Inputs</t>
  </si>
  <si>
    <t>Age:</t>
  </si>
  <si>
    <t>Gender:</t>
  </si>
  <si>
    <t>Sum Assured:</t>
  </si>
  <si>
    <t>Loading:</t>
  </si>
  <si>
    <t>Payment Mode:</t>
  </si>
  <si>
    <t>Interest Rate:</t>
  </si>
  <si>
    <t>Results</t>
  </si>
  <si>
    <t>Base Rate (per 1000):</t>
  </si>
  <si>
    <t>Annual Premium:</t>
  </si>
  <si>
    <t>Total Over Term:</t>
  </si>
  <si>
    <t>Your Insurance Premium Report</t>
  </si>
  <si>
    <t>Smoking Status:</t>
  </si>
  <si>
    <t>Payment Mode Premium:</t>
  </si>
  <si>
    <t>2. This project automates premium calculation using the user's age, gender, smoking status and payment mode.</t>
  </si>
  <si>
    <t>Project Purpose</t>
  </si>
  <si>
    <r>
      <t xml:space="preserve">1. To build an </t>
    </r>
    <r>
      <rPr>
        <b/>
        <sz val="11"/>
        <color theme="1"/>
        <rFont val="Aptos Narrow"/>
        <family val="2"/>
        <scheme val="minor"/>
      </rPr>
      <t>Insurance Premium Calculator</t>
    </r>
    <r>
      <rPr>
        <sz val="11"/>
        <color theme="1"/>
        <rFont val="Aptos Narrow"/>
        <family val="2"/>
        <scheme val="minor"/>
      </rPr>
      <t xml:space="preserve"> in Excel that demonstrates actuarial thinking and intermediate Excel skills.</t>
    </r>
  </si>
  <si>
    <t>2. The model allows users to input basic details (age, gender, smoker status, term, sum assured, loading, interest rate, payment mode) and receive an estimated premium.</t>
  </si>
  <si>
    <r>
      <t xml:space="preserve">3. This project is for </t>
    </r>
    <r>
      <rPr>
        <b/>
        <sz val="11"/>
        <color theme="1"/>
        <rFont val="Aptos Narrow"/>
        <family val="2"/>
        <scheme val="minor"/>
      </rPr>
      <t>learning and demonstration only</t>
    </r>
    <r>
      <rPr>
        <sz val="11"/>
        <color theme="1"/>
        <rFont val="Aptos Narrow"/>
        <family val="2"/>
        <scheme val="minor"/>
      </rPr>
      <t xml:space="preserve"> (not actuarial-grade pricing).</t>
    </r>
  </si>
  <si>
    <r>
      <t xml:space="preserve">1. Rates are </t>
    </r>
    <r>
      <rPr>
        <b/>
        <sz val="11"/>
        <color theme="1"/>
        <rFont val="Aptos Narrow"/>
        <family val="2"/>
        <scheme val="minor"/>
      </rPr>
      <t>illustrative only</t>
    </r>
    <r>
      <rPr>
        <sz val="11"/>
        <color theme="1"/>
        <rFont val="Aptos Narrow"/>
        <family val="2"/>
        <scheme val="minor"/>
      </rPr>
      <t xml:space="preserve"> (based on per 1,000 sum assured, by age/gender/smoker).</t>
    </r>
  </si>
  <si>
    <t>2. Coverage is term insurance; benefits payable at end of year of death.</t>
  </si>
  <si>
    <t>3. Loading (%) reflects expenses, margins, and profit.</t>
  </si>
  <si>
    <t>4. Interest rate (%) represents discounting/assumed investment return.</t>
  </si>
  <si>
    <t>5. Payment modes available: Annual, Semi-Annual, Quarterly, Monthly.</t>
  </si>
  <si>
    <t>6. Short vs Long Term:</t>
  </si>
  <si>
    <r>
      <t xml:space="preserve">7. This calculator is a </t>
    </r>
    <r>
      <rPr>
        <b/>
        <sz val="11"/>
        <color theme="1"/>
        <rFont val="Aptos Narrow"/>
        <family val="2"/>
        <scheme val="minor"/>
      </rPr>
      <t>simplified model</t>
    </r>
    <r>
      <rPr>
        <sz val="11"/>
        <color theme="1"/>
        <rFont val="Aptos Narrow"/>
        <family val="2"/>
        <scheme val="minor"/>
      </rPr>
      <t xml:space="preserve"> compared to actuarial methods (e.g., EPV, qₓ survival models).</t>
    </r>
  </si>
  <si>
    <t>-Shorter term → higher annual premium (fewer years to spread risk).</t>
  </si>
  <si>
    <t>-Longer term → lower annual premium but higher total paid across term.</t>
  </si>
  <si>
    <t>Excel Skills Used</t>
  </si>
  <si>
    <t>1. Data Validation (dropdowns)</t>
  </si>
  <si>
    <t>2. Named Ranges &amp; Tables</t>
  </si>
  <si>
    <r>
      <t xml:space="preserve">3. Lookup functions: </t>
    </r>
    <r>
      <rPr>
        <sz val="10"/>
        <color theme="1"/>
        <rFont val="Arial Unicode MS"/>
      </rPr>
      <t>XLOOKUP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INDEX/MATCH</t>
    </r>
  </si>
  <si>
    <t>4. Conditional Formatting</t>
  </si>
  <si>
    <r>
      <t xml:space="preserve">5. Formula logic: </t>
    </r>
    <r>
      <rPr>
        <sz val="10"/>
        <color theme="1"/>
        <rFont val="Arial Unicode MS"/>
      </rPr>
      <t>IF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IFERROR</t>
    </r>
    <r>
      <rPr>
        <sz val="11"/>
        <color theme="1"/>
        <rFont val="Aptos Narrow"/>
        <family val="2"/>
        <scheme val="minor"/>
      </rPr>
      <t>, basic math</t>
    </r>
  </si>
  <si>
    <t>6. Currency/number formatting</t>
  </si>
  <si>
    <t>7. VBA automation:</t>
  </si>
  <si>
    <t>8. Dashboard design (Outputs &amp; Cover page)</t>
  </si>
  <si>
    <t>- Clear Inputs</t>
  </si>
  <si>
    <t>- Recalculate Premium</t>
  </si>
  <si>
    <t>- Stamp Date</t>
  </si>
  <si>
    <t>- Generate Report</t>
  </si>
  <si>
    <t>Actuarial Concepts Included</t>
  </si>
  <si>
    <t>1. Base rates per 1,000 sum assured.</t>
  </si>
  <si>
    <t>2. Loading for expenses and profit.</t>
  </si>
  <si>
    <t>3. Term effect on annual vs total premiums.</t>
  </si>
  <si>
    <t>4. Interest/discounting (simplified).</t>
  </si>
  <si>
    <t>5. Foundation for later EPV-based net premium models.</t>
  </si>
  <si>
    <r>
      <t>Week 1:</t>
    </r>
    <r>
      <rPr>
        <sz val="11"/>
        <color theme="1"/>
        <rFont val="Aptos Narrow"/>
        <family val="2"/>
        <scheme val="minor"/>
      </rPr>
      <t xml:space="preserve"> Built Inputs, Rates, Calc, Outputs, Notes; implemented lookups and first premium formula.</t>
    </r>
  </si>
  <si>
    <r>
      <t>Week 2:</t>
    </r>
    <r>
      <rPr>
        <sz val="11"/>
        <color theme="1"/>
        <rFont val="Aptos Narrow"/>
        <family val="2"/>
        <scheme val="minor"/>
      </rPr>
      <t xml:space="preserve"> Added payment modes, loading, interest adjustment; improved realism.</t>
    </r>
  </si>
  <si>
    <r>
      <t>Week 3:</t>
    </r>
    <r>
      <rPr>
        <sz val="11"/>
        <color theme="1"/>
        <rFont val="Aptos Narrow"/>
        <family val="2"/>
        <scheme val="minor"/>
      </rPr>
      <t xml:space="preserve"> Polished Outputs with formatting; added UX improvements.</t>
    </r>
  </si>
  <si>
    <r>
      <t>Week 4:</t>
    </r>
    <r>
      <rPr>
        <sz val="11"/>
        <color theme="1"/>
        <rFont val="Aptos Narrow"/>
        <family val="2"/>
        <scheme val="minor"/>
      </rPr>
      <t xml:space="preserve"> Added VBA automation, Cover page, final report, LinkedIn draft.</t>
    </r>
  </si>
  <si>
    <t>Resources Used</t>
  </si>
  <si>
    <t>Excel Skills:</t>
  </si>
  <si>
    <t>ExcelJet (formulas &amp; lookups)</t>
  </si>
  <si>
    <t>Chandoo.org (Excel dashboard design)</t>
  </si>
  <si>
    <t>Leila Gharani (YouTube, advanced Excel &amp; VBA)</t>
  </si>
  <si>
    <t>VBA Learning:</t>
  </si>
  <si>
    <t>Excel Campus, Excel Macro Mastery</t>
  </si>
  <si>
    <t>Actuarial Basics:</t>
  </si>
  <si>
    <r>
      <t>Actuarial Mathematics for Life Contingent Risks</t>
    </r>
    <r>
      <rPr>
        <sz val="11"/>
        <color theme="1"/>
        <rFont val="Aptos Narrow"/>
        <family val="2"/>
        <scheme val="minor"/>
      </rPr>
      <t xml:space="preserve"> (Dickson, Hardy, Waters)</t>
    </r>
  </si>
  <si>
    <t>SOA Exam P &amp; LTAM materials</t>
  </si>
  <si>
    <r>
      <t xml:space="preserve">4. Final premium amount will be displayed in the </t>
    </r>
    <r>
      <rPr>
        <b/>
        <sz val="11"/>
        <color theme="1"/>
        <rFont val="Aptos Narrow"/>
        <family val="2"/>
        <scheme val="minor"/>
      </rPr>
      <t>Outputs</t>
    </r>
    <r>
      <rPr>
        <sz val="11"/>
        <color theme="1"/>
        <rFont val="Aptos Narrow"/>
        <family val="2"/>
        <scheme val="minor"/>
      </rPr>
      <t xml:space="preserve"> worksheet.</t>
    </r>
  </si>
  <si>
    <t>Finished on : 27th September 2025</t>
  </si>
  <si>
    <r>
      <t xml:space="preserve">3. Users should start at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 xml:space="preserve"> worksheet to put in the details and start calculating.</t>
    </r>
  </si>
  <si>
    <t>1. Excel Formulas, VBA macros, actuarial pricing basics, interest rate.</t>
  </si>
  <si>
    <t>2. Assumptions : Simplified pricing, fixed mortality rate.</t>
  </si>
  <si>
    <t>3. Resources: SOA Textbooks, online lessons and tutorials.</t>
  </si>
  <si>
    <t>Technical Skills</t>
  </si>
  <si>
    <t>Project Overview</t>
  </si>
  <si>
    <t>1. This project is built to learn the actuarial pricing basics.</t>
  </si>
  <si>
    <t>Go to Outputs spreadsheet for more detailed results.</t>
  </si>
  <si>
    <t>Kindly enter your details below.</t>
  </si>
  <si>
    <t>Final Premium (based on payment mode)</t>
  </si>
  <si>
    <t xml:space="preserve">Loading </t>
  </si>
  <si>
    <t xml:space="preserve">Interest Rate </t>
  </si>
  <si>
    <t xml:space="preserve">Premium </t>
  </si>
  <si>
    <t>Arif Shaikhan, B.Sc. Actuarial Science UKM, 2023-2027</t>
  </si>
  <si>
    <t>Term Life Insurance Premium Calculator (Excel + 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</si>
</sst>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M&quot;#,##0.00;\-&quot;RM&quot;#,##0.00"/>
    <numFmt numFmtId="164" formatCode="&quot;RM&quot;#,##0.00"/>
    <numFmt numFmtId="165" formatCode="&quot;RM&quot;#,##0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i/>
      <sz val="11"/>
      <color theme="0" tint="-0.499984740745262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 tint="0.499984740745262"/>
      <name val="Aptos Narrow"/>
      <family val="2"/>
      <scheme val="minor"/>
    </font>
    <font>
      <b/>
      <i/>
      <sz val="11"/>
      <color theme="1" tint="0.499984740745262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i/>
      <sz val="11"/>
      <color theme="1"/>
      <name val="Aptos Narrow"/>
      <family val="2"/>
      <scheme val="minor"/>
    </font>
    <font>
      <i/>
      <sz val="11"/>
      <color theme="2" tint="-0.499984740745262"/>
      <name val="Aptos Narrow"/>
      <family val="2"/>
      <scheme val="minor"/>
    </font>
    <font>
      <sz val="11"/>
      <name val="Aptos Narrow"/>
      <family val="2"/>
      <scheme val="minor"/>
    </font>
    <font>
      <b/>
      <i/>
      <sz val="12"/>
      <color theme="2" tint="-0.499984740745262"/>
      <name val="Aptos Narrow"/>
      <family val="2"/>
      <scheme val="minor"/>
    </font>
    <font>
      <b/>
      <sz val="14"/>
      <color theme="2" tint="-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4"/>
      <name val="Aptos Narrow"/>
      <family val="2"/>
      <scheme val="minor"/>
    </font>
    <font>
      <b/>
      <i/>
      <sz val="11"/>
      <color theme="2" tint="-0.49998474074526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1" fontId="0" fillId="0" borderId="0" xfId="0" applyNumberFormat="1"/>
    <xf numFmtId="0" fontId="3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164" fontId="2" fillId="3" borderId="0" xfId="0" applyNumberFormat="1" applyFont="1" applyFill="1"/>
    <xf numFmtId="164" fontId="2" fillId="0" borderId="0" xfId="0" applyNumberFormat="1" applyFont="1"/>
    <xf numFmtId="0" fontId="7" fillId="2" borderId="0" xfId="0" applyFont="1" applyFill="1"/>
    <xf numFmtId="164" fontId="7" fillId="2" borderId="0" xfId="0" applyNumberFormat="1" applyFont="1" applyFill="1"/>
    <xf numFmtId="7" fontId="0" fillId="0" borderId="0" xfId="0" applyNumberFormat="1"/>
    <xf numFmtId="0" fontId="10" fillId="0" borderId="0" xfId="0" applyFont="1"/>
    <xf numFmtId="0" fontId="1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quotePrefix="1" applyAlignment="1">
      <alignment horizontal="left" vertical="center" indent="2"/>
    </xf>
    <xf numFmtId="0" fontId="13" fillId="0" borderId="0" xfId="0" applyFont="1" applyAlignment="1">
      <alignment horizontal="left" vertical="center" indent="2"/>
    </xf>
    <xf numFmtId="0" fontId="14" fillId="0" borderId="0" xfId="0" applyFont="1"/>
    <xf numFmtId="0" fontId="16" fillId="0" borderId="0" xfId="0" applyFont="1"/>
    <xf numFmtId="0" fontId="10" fillId="4" borderId="0" xfId="0" applyFont="1" applyFill="1"/>
    <xf numFmtId="1" fontId="17" fillId="5" borderId="0" xfId="0" applyNumberFormat="1" applyFont="1" applyFill="1"/>
    <xf numFmtId="0" fontId="17" fillId="5" borderId="0" xfId="0" applyFont="1" applyFill="1"/>
    <xf numFmtId="164" fontId="10" fillId="4" borderId="0" xfId="0" applyNumberFormat="1" applyFont="1" applyFill="1"/>
    <xf numFmtId="164" fontId="17" fillId="5" borderId="0" xfId="0" applyNumberFormat="1" applyFont="1" applyFill="1"/>
    <xf numFmtId="10" fontId="17" fillId="5" borderId="0" xfId="0" applyNumberFormat="1" applyFont="1" applyFill="1"/>
    <xf numFmtId="0" fontId="18" fillId="0" borderId="0" xfId="0" applyFont="1"/>
    <xf numFmtId="0" fontId="10" fillId="2" borderId="0" xfId="0" applyFont="1" applyFill="1"/>
    <xf numFmtId="0" fontId="18" fillId="2" borderId="0" xfId="0" applyFont="1" applyFill="1"/>
    <xf numFmtId="164" fontId="18" fillId="2" borderId="0" xfId="0" applyNumberFormat="1" applyFont="1" applyFill="1"/>
    <xf numFmtId="0" fontId="0" fillId="7" borderId="0" xfId="0" applyFill="1"/>
    <xf numFmtId="0" fontId="21" fillId="8" borderId="0" xfId="0" applyFont="1" applyFill="1"/>
    <xf numFmtId="0" fontId="22" fillId="9" borderId="0" xfId="0" applyFont="1" applyFill="1"/>
    <xf numFmtId="0" fontId="15" fillId="10" borderId="0" xfId="0" applyFont="1" applyFill="1"/>
    <xf numFmtId="0" fontId="0" fillId="10" borderId="0" xfId="0" applyFill="1"/>
    <xf numFmtId="0" fontId="19" fillId="6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0" fontId="23" fillId="0" borderId="0" xfId="0" applyFont="1"/>
    <xf numFmtId="0" fontId="9" fillId="0" borderId="0" xfId="0" applyFont="1"/>
    <xf numFmtId="0" fontId="4" fillId="7" borderId="0" xfId="0" applyFont="1" applyFill="1" applyAlignment="1">
      <alignment horizontal="center"/>
    </xf>
    <xf numFmtId="0" fontId="10" fillId="11" borderId="0" xfId="0" applyFont="1" applyFill="1"/>
    <xf numFmtId="1" fontId="18" fillId="12" borderId="0" xfId="0" applyNumberFormat="1" applyFont="1" applyFill="1"/>
    <xf numFmtId="165" fontId="18" fillId="12" borderId="0" xfId="0" applyNumberFormat="1" applyFont="1" applyFill="1"/>
    <xf numFmtId="2" fontId="18" fillId="12" borderId="0" xfId="0" applyNumberFormat="1" applyFont="1" applyFill="1"/>
    <xf numFmtId="0" fontId="10" fillId="13" borderId="1" xfId="0" applyFont="1" applyFill="1" applyBorder="1" applyAlignment="1">
      <alignment horizontal="center"/>
    </xf>
    <xf numFmtId="0" fontId="18" fillId="13" borderId="1" xfId="0" applyFont="1" applyFill="1" applyBorder="1"/>
    <xf numFmtId="0" fontId="10" fillId="14" borderId="1" xfId="0" applyFont="1" applyFill="1" applyBorder="1" applyAlignment="1">
      <alignment horizontal="center"/>
    </xf>
    <xf numFmtId="164" fontId="18" fillId="14" borderId="1" xfId="0" applyNumberFormat="1" applyFont="1" applyFill="1" applyBorder="1"/>
  </cellXfs>
  <cellStyles count="1">
    <cellStyle name="Normal" xfId="0" builtinId="0"/>
  </cellStyles>
  <dxfs count="6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Outputs!$F$4</c:f>
              <c:strCache>
                <c:ptCount val="1"/>
                <c:pt idx="0">
                  <c:v>Premium 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Outputs!$E$5:$E$8</c:f>
              <c:strCache>
                <c:ptCount val="4"/>
                <c:pt idx="0">
                  <c:v>Annual</c:v>
                </c:pt>
                <c:pt idx="1">
                  <c:v>Semi-annual</c:v>
                </c:pt>
                <c:pt idx="2">
                  <c:v>Quarterly</c:v>
                </c:pt>
                <c:pt idx="3">
                  <c:v>Monthly</c:v>
                </c:pt>
              </c:strCache>
            </c:strRef>
          </c:cat>
          <c:val>
            <c:numRef>
              <c:f>Outputs!$F$5:$F$8</c:f>
              <c:numCache>
                <c:formatCode>"RM"#,##0.00</c:formatCode>
                <c:ptCount val="4"/>
                <c:pt idx="0">
                  <c:v>77.413601474973945</c:v>
                </c:pt>
                <c:pt idx="1">
                  <c:v>38.706800737486972</c:v>
                </c:pt>
                <c:pt idx="2">
                  <c:v>19.353400368743486</c:v>
                </c:pt>
                <c:pt idx="3">
                  <c:v>6.4511334562478284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4-4445-974E-C60F8E75135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8958623"/>
        <c:axId val="1378959583"/>
      </c:barChart>
      <c:catAx>
        <c:axId val="137895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959583"/>
        <c:crosses val="autoZero"/>
        <c:auto val="1"/>
        <c:lblAlgn val="ctr"/>
        <c:lblOffset val="100"/>
        <c:noMultiLvlLbl val="0"/>
      </c:catAx>
      <c:valAx>
        <c:axId val="137895958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M&quot;#,##0.00" sourceLinked="1"/>
        <c:majorTickMark val="none"/>
        <c:minorTickMark val="none"/>
        <c:tickLblPos val="nextTo"/>
        <c:crossAx val="137895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 sz="1400" b="0" i="0" u="none" strike="noStrike" baseline="0"/>
              <a:t>Premium Rate by Age (Male, Non-Smoker)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Y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Rates!$A$1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Rates!$A$2:$A$64</c:f>
              <c:numCache>
                <c:formatCode>General</c:formatCode>
                <c:ptCount val="63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F-4E0D-9562-608C161DFEE9}"/>
            </c:ext>
          </c:extLst>
        </c:ser>
        <c:ser>
          <c:idx val="1"/>
          <c:order val="1"/>
          <c:tx>
            <c:strRef>
              <c:f>Rates!$B$1</c:f>
              <c:strCache>
                <c:ptCount val="1"/>
                <c:pt idx="0">
                  <c:v>Male-NS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Rates!$B$2:$B$64</c:f>
              <c:numCache>
                <c:formatCode>0.00</c:formatCode>
                <c:ptCount val="63"/>
                <c:pt idx="0">
                  <c:v>1.2</c:v>
                </c:pt>
                <c:pt idx="1">
                  <c:v>1.25</c:v>
                </c:pt>
                <c:pt idx="2">
                  <c:v>1.3</c:v>
                </c:pt>
                <c:pt idx="3">
                  <c:v>1.35</c:v>
                </c:pt>
                <c:pt idx="4">
                  <c:v>1.4</c:v>
                </c:pt>
                <c:pt idx="5">
                  <c:v>1.45</c:v>
                </c:pt>
                <c:pt idx="6">
                  <c:v>1.5</c:v>
                </c:pt>
                <c:pt idx="7">
                  <c:v>1.55</c:v>
                </c:pt>
                <c:pt idx="8">
                  <c:v>1.6</c:v>
                </c:pt>
                <c:pt idx="9">
                  <c:v>1.65</c:v>
                </c:pt>
                <c:pt idx="10">
                  <c:v>1.7</c:v>
                </c:pt>
                <c:pt idx="11">
                  <c:v>1.75</c:v>
                </c:pt>
                <c:pt idx="12">
                  <c:v>1.8</c:v>
                </c:pt>
                <c:pt idx="13">
                  <c:v>1.85</c:v>
                </c:pt>
                <c:pt idx="14">
                  <c:v>1.9</c:v>
                </c:pt>
                <c:pt idx="15">
                  <c:v>1.95</c:v>
                </c:pt>
                <c:pt idx="16">
                  <c:v>2</c:v>
                </c:pt>
                <c:pt idx="17">
                  <c:v>2.0499999999999998</c:v>
                </c:pt>
                <c:pt idx="18">
                  <c:v>2.1</c:v>
                </c:pt>
                <c:pt idx="19">
                  <c:v>2.15</c:v>
                </c:pt>
                <c:pt idx="20">
                  <c:v>2.2000000000000002</c:v>
                </c:pt>
                <c:pt idx="21">
                  <c:v>2.25</c:v>
                </c:pt>
                <c:pt idx="22">
                  <c:v>2.2999999999999998</c:v>
                </c:pt>
                <c:pt idx="23">
                  <c:v>2.35</c:v>
                </c:pt>
                <c:pt idx="24">
                  <c:v>2.4</c:v>
                </c:pt>
                <c:pt idx="25">
                  <c:v>2.4500000000000002</c:v>
                </c:pt>
                <c:pt idx="26">
                  <c:v>2.5</c:v>
                </c:pt>
                <c:pt idx="27">
                  <c:v>2.5499999999999998</c:v>
                </c:pt>
                <c:pt idx="28">
                  <c:v>2.6</c:v>
                </c:pt>
                <c:pt idx="29">
                  <c:v>2.65</c:v>
                </c:pt>
                <c:pt idx="30">
                  <c:v>2.7</c:v>
                </c:pt>
                <c:pt idx="31">
                  <c:v>2.75</c:v>
                </c:pt>
                <c:pt idx="32">
                  <c:v>2.8</c:v>
                </c:pt>
                <c:pt idx="33">
                  <c:v>2.85</c:v>
                </c:pt>
                <c:pt idx="34">
                  <c:v>2.9</c:v>
                </c:pt>
                <c:pt idx="35">
                  <c:v>2.95</c:v>
                </c:pt>
                <c:pt idx="36">
                  <c:v>3</c:v>
                </c:pt>
                <c:pt idx="37">
                  <c:v>3.05</c:v>
                </c:pt>
                <c:pt idx="38">
                  <c:v>3.1</c:v>
                </c:pt>
                <c:pt idx="39">
                  <c:v>3.15</c:v>
                </c:pt>
                <c:pt idx="40">
                  <c:v>3.2</c:v>
                </c:pt>
                <c:pt idx="41">
                  <c:v>3.25</c:v>
                </c:pt>
                <c:pt idx="42">
                  <c:v>3.3</c:v>
                </c:pt>
                <c:pt idx="43">
                  <c:v>3.35</c:v>
                </c:pt>
                <c:pt idx="44">
                  <c:v>3.4</c:v>
                </c:pt>
                <c:pt idx="45">
                  <c:v>3.45</c:v>
                </c:pt>
                <c:pt idx="46">
                  <c:v>3.5</c:v>
                </c:pt>
                <c:pt idx="47">
                  <c:v>3.55</c:v>
                </c:pt>
                <c:pt idx="48">
                  <c:v>3.6</c:v>
                </c:pt>
                <c:pt idx="49">
                  <c:v>3.65</c:v>
                </c:pt>
                <c:pt idx="50">
                  <c:v>3.7</c:v>
                </c:pt>
                <c:pt idx="51">
                  <c:v>3.75</c:v>
                </c:pt>
                <c:pt idx="52">
                  <c:v>3.8</c:v>
                </c:pt>
                <c:pt idx="53">
                  <c:v>3.85</c:v>
                </c:pt>
                <c:pt idx="54">
                  <c:v>3.9</c:v>
                </c:pt>
                <c:pt idx="55">
                  <c:v>3.95</c:v>
                </c:pt>
                <c:pt idx="56">
                  <c:v>4</c:v>
                </c:pt>
                <c:pt idx="57">
                  <c:v>4.05</c:v>
                </c:pt>
                <c:pt idx="58">
                  <c:v>4.0999999999999996</c:v>
                </c:pt>
                <c:pt idx="59">
                  <c:v>4.1500000000000004</c:v>
                </c:pt>
                <c:pt idx="60">
                  <c:v>4.2</c:v>
                </c:pt>
                <c:pt idx="61">
                  <c:v>4.25</c:v>
                </c:pt>
                <c:pt idx="62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F-4E0D-9562-608C161DF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917280"/>
        <c:axId val="1806901920"/>
      </c:lineChart>
      <c:catAx>
        <c:axId val="1806917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01920"/>
        <c:crosses val="autoZero"/>
        <c:auto val="1"/>
        <c:lblAlgn val="ctr"/>
        <c:lblOffset val="100"/>
        <c:noMultiLvlLbl val="0"/>
      </c:catAx>
      <c:valAx>
        <c:axId val="18069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1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 sz="1400" b="0" i="0" u="none" strike="noStrike" baseline="0"/>
              <a:t>Premium Rate by Age (Male, Smoker)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Y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Rates!$A$1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Rates!$A$2:$A$64</c:f>
              <c:numCache>
                <c:formatCode>General</c:formatCode>
                <c:ptCount val="63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EB-4387-A7E2-66D9062856DF}"/>
            </c:ext>
          </c:extLst>
        </c:ser>
        <c:ser>
          <c:idx val="1"/>
          <c:order val="1"/>
          <c:tx>
            <c:strRef>
              <c:f>Rates!$C$1</c:f>
              <c:strCache>
                <c:ptCount val="1"/>
                <c:pt idx="0">
                  <c:v>Male-S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Rates!$B$2:$B$64</c:f>
              <c:numCache>
                <c:formatCode>0.00</c:formatCode>
                <c:ptCount val="63"/>
                <c:pt idx="0">
                  <c:v>1.2</c:v>
                </c:pt>
                <c:pt idx="1">
                  <c:v>1.25</c:v>
                </c:pt>
                <c:pt idx="2">
                  <c:v>1.3</c:v>
                </c:pt>
                <c:pt idx="3">
                  <c:v>1.35</c:v>
                </c:pt>
                <c:pt idx="4">
                  <c:v>1.4</c:v>
                </c:pt>
                <c:pt idx="5">
                  <c:v>1.45</c:v>
                </c:pt>
                <c:pt idx="6">
                  <c:v>1.5</c:v>
                </c:pt>
                <c:pt idx="7">
                  <c:v>1.55</c:v>
                </c:pt>
                <c:pt idx="8">
                  <c:v>1.6</c:v>
                </c:pt>
                <c:pt idx="9">
                  <c:v>1.65</c:v>
                </c:pt>
                <c:pt idx="10">
                  <c:v>1.7</c:v>
                </c:pt>
                <c:pt idx="11">
                  <c:v>1.75</c:v>
                </c:pt>
                <c:pt idx="12">
                  <c:v>1.8</c:v>
                </c:pt>
                <c:pt idx="13">
                  <c:v>1.85</c:v>
                </c:pt>
                <c:pt idx="14">
                  <c:v>1.9</c:v>
                </c:pt>
                <c:pt idx="15">
                  <c:v>1.95</c:v>
                </c:pt>
                <c:pt idx="16">
                  <c:v>2</c:v>
                </c:pt>
                <c:pt idx="17">
                  <c:v>2.0499999999999998</c:v>
                </c:pt>
                <c:pt idx="18">
                  <c:v>2.1</c:v>
                </c:pt>
                <c:pt idx="19">
                  <c:v>2.15</c:v>
                </c:pt>
                <c:pt idx="20">
                  <c:v>2.2000000000000002</c:v>
                </c:pt>
                <c:pt idx="21">
                  <c:v>2.25</c:v>
                </c:pt>
                <c:pt idx="22">
                  <c:v>2.2999999999999998</c:v>
                </c:pt>
                <c:pt idx="23">
                  <c:v>2.35</c:v>
                </c:pt>
                <c:pt idx="24">
                  <c:v>2.4</c:v>
                </c:pt>
                <c:pt idx="25">
                  <c:v>2.4500000000000002</c:v>
                </c:pt>
                <c:pt idx="26">
                  <c:v>2.5</c:v>
                </c:pt>
                <c:pt idx="27">
                  <c:v>2.5499999999999998</c:v>
                </c:pt>
                <c:pt idx="28">
                  <c:v>2.6</c:v>
                </c:pt>
                <c:pt idx="29">
                  <c:v>2.65</c:v>
                </c:pt>
                <c:pt idx="30">
                  <c:v>2.7</c:v>
                </c:pt>
                <c:pt idx="31">
                  <c:v>2.75</c:v>
                </c:pt>
                <c:pt idx="32">
                  <c:v>2.8</c:v>
                </c:pt>
                <c:pt idx="33">
                  <c:v>2.85</c:v>
                </c:pt>
                <c:pt idx="34">
                  <c:v>2.9</c:v>
                </c:pt>
                <c:pt idx="35">
                  <c:v>2.95</c:v>
                </c:pt>
                <c:pt idx="36">
                  <c:v>3</c:v>
                </c:pt>
                <c:pt idx="37">
                  <c:v>3.05</c:v>
                </c:pt>
                <c:pt idx="38">
                  <c:v>3.1</c:v>
                </c:pt>
                <c:pt idx="39">
                  <c:v>3.15</c:v>
                </c:pt>
                <c:pt idx="40">
                  <c:v>3.2</c:v>
                </c:pt>
                <c:pt idx="41">
                  <c:v>3.25</c:v>
                </c:pt>
                <c:pt idx="42">
                  <c:v>3.3</c:v>
                </c:pt>
                <c:pt idx="43">
                  <c:v>3.35</c:v>
                </c:pt>
                <c:pt idx="44">
                  <c:v>3.4</c:v>
                </c:pt>
                <c:pt idx="45">
                  <c:v>3.45</c:v>
                </c:pt>
                <c:pt idx="46">
                  <c:v>3.5</c:v>
                </c:pt>
                <c:pt idx="47">
                  <c:v>3.55</c:v>
                </c:pt>
                <c:pt idx="48">
                  <c:v>3.6</c:v>
                </c:pt>
                <c:pt idx="49">
                  <c:v>3.65</c:v>
                </c:pt>
                <c:pt idx="50">
                  <c:v>3.7</c:v>
                </c:pt>
                <c:pt idx="51">
                  <c:v>3.75</c:v>
                </c:pt>
                <c:pt idx="52">
                  <c:v>3.8</c:v>
                </c:pt>
                <c:pt idx="53">
                  <c:v>3.85</c:v>
                </c:pt>
                <c:pt idx="54">
                  <c:v>3.9</c:v>
                </c:pt>
                <c:pt idx="55">
                  <c:v>3.95</c:v>
                </c:pt>
                <c:pt idx="56">
                  <c:v>4</c:v>
                </c:pt>
                <c:pt idx="57">
                  <c:v>4.05</c:v>
                </c:pt>
                <c:pt idx="58">
                  <c:v>4.0999999999999996</c:v>
                </c:pt>
                <c:pt idx="59">
                  <c:v>4.1500000000000004</c:v>
                </c:pt>
                <c:pt idx="60">
                  <c:v>4.2</c:v>
                </c:pt>
                <c:pt idx="61">
                  <c:v>4.25</c:v>
                </c:pt>
                <c:pt idx="62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EB-4387-A7E2-66D906285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917280"/>
        <c:axId val="1806901920"/>
      </c:lineChart>
      <c:catAx>
        <c:axId val="1806917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01920"/>
        <c:crosses val="autoZero"/>
        <c:auto val="1"/>
        <c:lblAlgn val="ctr"/>
        <c:lblOffset val="100"/>
        <c:noMultiLvlLbl val="0"/>
      </c:catAx>
      <c:valAx>
        <c:axId val="18069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1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 sz="1400" b="0" i="0" u="none" strike="noStrike" baseline="0"/>
              <a:t>Premium Rate by Age (Female, Non-Smoker)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Y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Rates!$A$1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Rates!$A$2:$A$64</c:f>
              <c:numCache>
                <c:formatCode>General</c:formatCode>
                <c:ptCount val="63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C-4981-A792-C66CCC56E3D0}"/>
            </c:ext>
          </c:extLst>
        </c:ser>
        <c:ser>
          <c:idx val="1"/>
          <c:order val="1"/>
          <c:tx>
            <c:strRef>
              <c:f>Rates!$D$1</c:f>
              <c:strCache>
                <c:ptCount val="1"/>
                <c:pt idx="0">
                  <c:v>Female-NS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Rates!$B$2:$B$64</c:f>
              <c:numCache>
                <c:formatCode>0.00</c:formatCode>
                <c:ptCount val="63"/>
                <c:pt idx="0">
                  <c:v>1.2</c:v>
                </c:pt>
                <c:pt idx="1">
                  <c:v>1.25</c:v>
                </c:pt>
                <c:pt idx="2">
                  <c:v>1.3</c:v>
                </c:pt>
                <c:pt idx="3">
                  <c:v>1.35</c:v>
                </c:pt>
                <c:pt idx="4">
                  <c:v>1.4</c:v>
                </c:pt>
                <c:pt idx="5">
                  <c:v>1.45</c:v>
                </c:pt>
                <c:pt idx="6">
                  <c:v>1.5</c:v>
                </c:pt>
                <c:pt idx="7">
                  <c:v>1.55</c:v>
                </c:pt>
                <c:pt idx="8">
                  <c:v>1.6</c:v>
                </c:pt>
                <c:pt idx="9">
                  <c:v>1.65</c:v>
                </c:pt>
                <c:pt idx="10">
                  <c:v>1.7</c:v>
                </c:pt>
                <c:pt idx="11">
                  <c:v>1.75</c:v>
                </c:pt>
                <c:pt idx="12">
                  <c:v>1.8</c:v>
                </c:pt>
                <c:pt idx="13">
                  <c:v>1.85</c:v>
                </c:pt>
                <c:pt idx="14">
                  <c:v>1.9</c:v>
                </c:pt>
                <c:pt idx="15">
                  <c:v>1.95</c:v>
                </c:pt>
                <c:pt idx="16">
                  <c:v>2</c:v>
                </c:pt>
                <c:pt idx="17">
                  <c:v>2.0499999999999998</c:v>
                </c:pt>
                <c:pt idx="18">
                  <c:v>2.1</c:v>
                </c:pt>
                <c:pt idx="19">
                  <c:v>2.15</c:v>
                </c:pt>
                <c:pt idx="20">
                  <c:v>2.2000000000000002</c:v>
                </c:pt>
                <c:pt idx="21">
                  <c:v>2.25</c:v>
                </c:pt>
                <c:pt idx="22">
                  <c:v>2.2999999999999998</c:v>
                </c:pt>
                <c:pt idx="23">
                  <c:v>2.35</c:v>
                </c:pt>
                <c:pt idx="24">
                  <c:v>2.4</c:v>
                </c:pt>
                <c:pt idx="25">
                  <c:v>2.4500000000000002</c:v>
                </c:pt>
                <c:pt idx="26">
                  <c:v>2.5</c:v>
                </c:pt>
                <c:pt idx="27">
                  <c:v>2.5499999999999998</c:v>
                </c:pt>
                <c:pt idx="28">
                  <c:v>2.6</c:v>
                </c:pt>
                <c:pt idx="29">
                  <c:v>2.65</c:v>
                </c:pt>
                <c:pt idx="30">
                  <c:v>2.7</c:v>
                </c:pt>
                <c:pt idx="31">
                  <c:v>2.75</c:v>
                </c:pt>
                <c:pt idx="32">
                  <c:v>2.8</c:v>
                </c:pt>
                <c:pt idx="33">
                  <c:v>2.85</c:v>
                </c:pt>
                <c:pt idx="34">
                  <c:v>2.9</c:v>
                </c:pt>
                <c:pt idx="35">
                  <c:v>2.95</c:v>
                </c:pt>
                <c:pt idx="36">
                  <c:v>3</c:v>
                </c:pt>
                <c:pt idx="37">
                  <c:v>3.05</c:v>
                </c:pt>
                <c:pt idx="38">
                  <c:v>3.1</c:v>
                </c:pt>
                <c:pt idx="39">
                  <c:v>3.15</c:v>
                </c:pt>
                <c:pt idx="40">
                  <c:v>3.2</c:v>
                </c:pt>
                <c:pt idx="41">
                  <c:v>3.25</c:v>
                </c:pt>
                <c:pt idx="42">
                  <c:v>3.3</c:v>
                </c:pt>
                <c:pt idx="43">
                  <c:v>3.35</c:v>
                </c:pt>
                <c:pt idx="44">
                  <c:v>3.4</c:v>
                </c:pt>
                <c:pt idx="45">
                  <c:v>3.45</c:v>
                </c:pt>
                <c:pt idx="46">
                  <c:v>3.5</c:v>
                </c:pt>
                <c:pt idx="47">
                  <c:v>3.55</c:v>
                </c:pt>
                <c:pt idx="48">
                  <c:v>3.6</c:v>
                </c:pt>
                <c:pt idx="49">
                  <c:v>3.65</c:v>
                </c:pt>
                <c:pt idx="50">
                  <c:v>3.7</c:v>
                </c:pt>
                <c:pt idx="51">
                  <c:v>3.75</c:v>
                </c:pt>
                <c:pt idx="52">
                  <c:v>3.8</c:v>
                </c:pt>
                <c:pt idx="53">
                  <c:v>3.85</c:v>
                </c:pt>
                <c:pt idx="54">
                  <c:v>3.9</c:v>
                </c:pt>
                <c:pt idx="55">
                  <c:v>3.95</c:v>
                </c:pt>
                <c:pt idx="56">
                  <c:v>4</c:v>
                </c:pt>
                <c:pt idx="57">
                  <c:v>4.05</c:v>
                </c:pt>
                <c:pt idx="58">
                  <c:v>4.0999999999999996</c:v>
                </c:pt>
                <c:pt idx="59">
                  <c:v>4.1500000000000004</c:v>
                </c:pt>
                <c:pt idx="60">
                  <c:v>4.2</c:v>
                </c:pt>
                <c:pt idx="61">
                  <c:v>4.25</c:v>
                </c:pt>
                <c:pt idx="62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EC-4981-A792-C66CCC56E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917280"/>
        <c:axId val="1806901920"/>
      </c:lineChart>
      <c:catAx>
        <c:axId val="1806917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01920"/>
        <c:crosses val="autoZero"/>
        <c:auto val="1"/>
        <c:lblAlgn val="ctr"/>
        <c:lblOffset val="100"/>
        <c:noMultiLvlLbl val="0"/>
      </c:catAx>
      <c:valAx>
        <c:axId val="18069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1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 sz="1400" b="0" i="0" u="none" strike="noStrike" baseline="0"/>
              <a:t>Premium Rate by Age (Female, Smoker)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Y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Rates!$A$1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Rates!$A$2:$A$64</c:f>
              <c:numCache>
                <c:formatCode>General</c:formatCode>
                <c:ptCount val="63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D-4DD0-A451-EC6940696F14}"/>
            </c:ext>
          </c:extLst>
        </c:ser>
        <c:ser>
          <c:idx val="1"/>
          <c:order val="1"/>
          <c:tx>
            <c:strRef>
              <c:f>Rates!$E$1</c:f>
              <c:strCache>
                <c:ptCount val="1"/>
                <c:pt idx="0">
                  <c:v>Female-S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Rates!$B$2:$B$64</c:f>
              <c:numCache>
                <c:formatCode>0.00</c:formatCode>
                <c:ptCount val="63"/>
                <c:pt idx="0">
                  <c:v>1.2</c:v>
                </c:pt>
                <c:pt idx="1">
                  <c:v>1.25</c:v>
                </c:pt>
                <c:pt idx="2">
                  <c:v>1.3</c:v>
                </c:pt>
                <c:pt idx="3">
                  <c:v>1.35</c:v>
                </c:pt>
                <c:pt idx="4">
                  <c:v>1.4</c:v>
                </c:pt>
                <c:pt idx="5">
                  <c:v>1.45</c:v>
                </c:pt>
                <c:pt idx="6">
                  <c:v>1.5</c:v>
                </c:pt>
                <c:pt idx="7">
                  <c:v>1.55</c:v>
                </c:pt>
                <c:pt idx="8">
                  <c:v>1.6</c:v>
                </c:pt>
                <c:pt idx="9">
                  <c:v>1.65</c:v>
                </c:pt>
                <c:pt idx="10">
                  <c:v>1.7</c:v>
                </c:pt>
                <c:pt idx="11">
                  <c:v>1.75</c:v>
                </c:pt>
                <c:pt idx="12">
                  <c:v>1.8</c:v>
                </c:pt>
                <c:pt idx="13">
                  <c:v>1.85</c:v>
                </c:pt>
                <c:pt idx="14">
                  <c:v>1.9</c:v>
                </c:pt>
                <c:pt idx="15">
                  <c:v>1.95</c:v>
                </c:pt>
                <c:pt idx="16">
                  <c:v>2</c:v>
                </c:pt>
                <c:pt idx="17">
                  <c:v>2.0499999999999998</c:v>
                </c:pt>
                <c:pt idx="18">
                  <c:v>2.1</c:v>
                </c:pt>
                <c:pt idx="19">
                  <c:v>2.15</c:v>
                </c:pt>
                <c:pt idx="20">
                  <c:v>2.2000000000000002</c:v>
                </c:pt>
                <c:pt idx="21">
                  <c:v>2.25</c:v>
                </c:pt>
                <c:pt idx="22">
                  <c:v>2.2999999999999998</c:v>
                </c:pt>
                <c:pt idx="23">
                  <c:v>2.35</c:v>
                </c:pt>
                <c:pt idx="24">
                  <c:v>2.4</c:v>
                </c:pt>
                <c:pt idx="25">
                  <c:v>2.4500000000000002</c:v>
                </c:pt>
                <c:pt idx="26">
                  <c:v>2.5</c:v>
                </c:pt>
                <c:pt idx="27">
                  <c:v>2.5499999999999998</c:v>
                </c:pt>
                <c:pt idx="28">
                  <c:v>2.6</c:v>
                </c:pt>
                <c:pt idx="29">
                  <c:v>2.65</c:v>
                </c:pt>
                <c:pt idx="30">
                  <c:v>2.7</c:v>
                </c:pt>
                <c:pt idx="31">
                  <c:v>2.75</c:v>
                </c:pt>
                <c:pt idx="32">
                  <c:v>2.8</c:v>
                </c:pt>
                <c:pt idx="33">
                  <c:v>2.85</c:v>
                </c:pt>
                <c:pt idx="34">
                  <c:v>2.9</c:v>
                </c:pt>
                <c:pt idx="35">
                  <c:v>2.95</c:v>
                </c:pt>
                <c:pt idx="36">
                  <c:v>3</c:v>
                </c:pt>
                <c:pt idx="37">
                  <c:v>3.05</c:v>
                </c:pt>
                <c:pt idx="38">
                  <c:v>3.1</c:v>
                </c:pt>
                <c:pt idx="39">
                  <c:v>3.15</c:v>
                </c:pt>
                <c:pt idx="40">
                  <c:v>3.2</c:v>
                </c:pt>
                <c:pt idx="41">
                  <c:v>3.25</c:v>
                </c:pt>
                <c:pt idx="42">
                  <c:v>3.3</c:v>
                </c:pt>
                <c:pt idx="43">
                  <c:v>3.35</c:v>
                </c:pt>
                <c:pt idx="44">
                  <c:v>3.4</c:v>
                </c:pt>
                <c:pt idx="45">
                  <c:v>3.45</c:v>
                </c:pt>
                <c:pt idx="46">
                  <c:v>3.5</c:v>
                </c:pt>
                <c:pt idx="47">
                  <c:v>3.55</c:v>
                </c:pt>
                <c:pt idx="48">
                  <c:v>3.6</c:v>
                </c:pt>
                <c:pt idx="49">
                  <c:v>3.65</c:v>
                </c:pt>
                <c:pt idx="50">
                  <c:v>3.7</c:v>
                </c:pt>
                <c:pt idx="51">
                  <c:v>3.75</c:v>
                </c:pt>
                <c:pt idx="52">
                  <c:v>3.8</c:v>
                </c:pt>
                <c:pt idx="53">
                  <c:v>3.85</c:v>
                </c:pt>
                <c:pt idx="54">
                  <c:v>3.9</c:v>
                </c:pt>
                <c:pt idx="55">
                  <c:v>3.95</c:v>
                </c:pt>
                <c:pt idx="56">
                  <c:v>4</c:v>
                </c:pt>
                <c:pt idx="57">
                  <c:v>4.05</c:v>
                </c:pt>
                <c:pt idx="58">
                  <c:v>4.0999999999999996</c:v>
                </c:pt>
                <c:pt idx="59">
                  <c:v>4.1500000000000004</c:v>
                </c:pt>
                <c:pt idx="60">
                  <c:v>4.2</c:v>
                </c:pt>
                <c:pt idx="61">
                  <c:v>4.25</c:v>
                </c:pt>
                <c:pt idx="62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D-4DD0-A451-EC6940696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6917280"/>
        <c:axId val="1806901920"/>
      </c:lineChart>
      <c:catAx>
        <c:axId val="1806917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01920"/>
        <c:crosses val="autoZero"/>
        <c:auto val="1"/>
        <c:lblAlgn val="ctr"/>
        <c:lblOffset val="100"/>
        <c:noMultiLvlLbl val="0"/>
      </c:catAx>
      <c:valAx>
        <c:axId val="18069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1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7620</xdr:rowOff>
        </xdr:from>
        <xdr:to>
          <xdr:col>1</xdr:col>
          <xdr:colOff>1569720</xdr:colOff>
          <xdr:row>16</xdr:row>
          <xdr:rowOff>106680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Recalculate Premium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1577340</xdr:colOff>
          <xdr:row>18</xdr:row>
          <xdr:rowOff>68580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19</xdr:row>
          <xdr:rowOff>7620</xdr:rowOff>
        </xdr:from>
        <xdr:to>
          <xdr:col>1</xdr:col>
          <xdr:colOff>1554480</xdr:colOff>
          <xdr:row>20</xdr:row>
          <xdr:rowOff>99060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Aptos Narrow"/>
                </a:rPr>
                <a:t>Stamp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19</xdr:row>
          <xdr:rowOff>38100</xdr:rowOff>
        </xdr:from>
        <xdr:to>
          <xdr:col>0</xdr:col>
          <xdr:colOff>1386840</xdr:colOff>
          <xdr:row>21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9</xdr:row>
      <xdr:rowOff>3810</xdr:rowOff>
    </xdr:from>
    <xdr:to>
      <xdr:col>7</xdr:col>
      <xdr:colOff>510540</xdr:colOff>
      <xdr:row>20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0DF123-8886-6BDE-DD96-5D2F1DEAA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6</xdr:col>
      <xdr:colOff>419100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4A7EC1-1B63-4479-86DD-6EDD47885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266700</xdr:colOff>
      <xdr:row>1</xdr:row>
      <xdr:rowOff>0</xdr:rowOff>
    </xdr:from>
    <xdr:to>
      <xdr:col>14</xdr:col>
      <xdr:colOff>571500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16A939-C13E-4351-8888-9E04B6BC8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</xdr:colOff>
      <xdr:row>17</xdr:row>
      <xdr:rowOff>0</xdr:rowOff>
    </xdr:from>
    <xdr:to>
      <xdr:col>6</xdr:col>
      <xdr:colOff>434340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EDFFAF-55C0-40B7-A4EE-481E31886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281940</xdr:colOff>
      <xdr:row>17</xdr:row>
      <xdr:rowOff>7620</xdr:rowOff>
    </xdr:from>
    <xdr:to>
      <xdr:col>14</xdr:col>
      <xdr:colOff>586740</xdr:colOff>
      <xdr:row>32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EECA7F6-B77C-40BA-B688-0ED76D151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FA543E-5F9E-45AE-83DC-108452EFB2A6}" name="Table1" displayName="Table1" ref="A1:E64" totalsRowShown="0" headerRowDxfId="5">
  <autoFilter ref="A1:E64" xr:uid="{D5FA543E-5F9E-45AE-83DC-108452EFB2A6}"/>
  <tableColumns count="5">
    <tableColumn id="1" xr3:uid="{60EFB28C-2CBB-4F57-85EE-E1972B8ADF9A}" name="Age"/>
    <tableColumn id="2" xr3:uid="{CF888650-C27E-4349-8236-8E1994EBB8AB}" name="Male-NS" dataDxfId="4">
      <calculatedColumnFormula>ROUND(1+(ROW(A2)-2)*0.05 +0.2, 2)</calculatedColumnFormula>
    </tableColumn>
    <tableColumn id="3" xr3:uid="{31B456EB-00D6-409D-8C6D-9BD75E91D6E5}" name="Male-S" dataDxfId="3">
      <calculatedColumnFormula>B2*1.4</calculatedColumnFormula>
    </tableColumn>
    <tableColumn id="4" xr3:uid="{76D685D3-396F-4FEB-B392-393B36B311BA}" name="Female-NS" dataDxfId="2">
      <calculatedColumnFormula>B2*0.85</calculatedColumnFormula>
    </tableColumn>
    <tableColumn id="5" xr3:uid="{32F8FB40-B260-458E-99D4-C4E7CF1C0642}" name="Female-S" dataDxfId="1">
      <calculatedColumnFormula>D2*1.4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427A-15D2-4242-9DAD-47A0D3D41038}">
  <sheetPr codeName="Sheet1"/>
  <dimension ref="A1:E22"/>
  <sheetViews>
    <sheetView tabSelected="1" zoomScale="120" zoomScaleNormal="120" workbookViewId="0">
      <selection activeCell="D17" sqref="D17"/>
    </sheetView>
  </sheetViews>
  <sheetFormatPr defaultRowHeight="14.4"/>
  <cols>
    <col min="1" max="1" width="92" customWidth="1"/>
  </cols>
  <sheetData>
    <row r="1" spans="1:5" ht="25.8">
      <c r="A1" s="42" t="s">
        <v>114</v>
      </c>
      <c r="B1" s="43"/>
      <c r="C1" s="43"/>
      <c r="D1" s="43"/>
      <c r="E1" s="43"/>
    </row>
    <row r="3" spans="1:5" ht="18">
      <c r="A3" s="38" t="s">
        <v>105</v>
      </c>
    </row>
    <row r="4" spans="1:5">
      <c r="A4" s="37" t="s">
        <v>106</v>
      </c>
    </row>
    <row r="5" spans="1:5">
      <c r="A5" s="37" t="s">
        <v>51</v>
      </c>
    </row>
    <row r="6" spans="1:5">
      <c r="A6" s="37" t="s">
        <v>100</v>
      </c>
    </row>
    <row r="7" spans="1:5">
      <c r="A7" s="37" t="s">
        <v>98</v>
      </c>
    </row>
    <row r="9" spans="1:5" ht="18">
      <c r="A9" s="39" t="s">
        <v>104</v>
      </c>
    </row>
    <row r="10" spans="1:5">
      <c r="A10" s="40" t="s">
        <v>101</v>
      </c>
    </row>
    <row r="11" spans="1:5">
      <c r="A11" s="41" t="s">
        <v>102</v>
      </c>
    </row>
    <row r="12" spans="1:5">
      <c r="A12" s="41" t="s">
        <v>103</v>
      </c>
    </row>
    <row r="14" spans="1:5" ht="15.6">
      <c r="A14" s="26" t="s">
        <v>113</v>
      </c>
    </row>
    <row r="15" spans="1:5" ht="15.6">
      <c r="A15" s="26" t="s">
        <v>99</v>
      </c>
    </row>
    <row r="21" spans="1:1">
      <c r="A21" s="25"/>
    </row>
    <row r="22" spans="1:1">
      <c r="A22" s="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65E56-6B34-4657-9575-7E45179BD3EC}">
  <sheetPr codeName="Sheet2"/>
  <dimension ref="A1:C14"/>
  <sheetViews>
    <sheetView zoomScale="120" zoomScaleNormal="120" workbookViewId="0">
      <selection activeCell="B24" sqref="B24"/>
    </sheetView>
  </sheetViews>
  <sheetFormatPr defaultRowHeight="14.4"/>
  <cols>
    <col min="2" max="2" width="27.33203125" customWidth="1"/>
    <col min="3" max="3" width="29" customWidth="1"/>
  </cols>
  <sheetData>
    <row r="1" spans="1:3">
      <c r="A1" s="25"/>
      <c r="B1" s="44" t="s">
        <v>108</v>
      </c>
    </row>
    <row r="3" spans="1:3" ht="18">
      <c r="B3" s="27" t="s">
        <v>0</v>
      </c>
      <c r="C3" s="28">
        <v>25</v>
      </c>
    </row>
    <row r="4" spans="1:3" ht="18">
      <c r="B4" s="27" t="s">
        <v>1</v>
      </c>
      <c r="C4" s="29" t="s">
        <v>17</v>
      </c>
    </row>
    <row r="5" spans="1:3" ht="18">
      <c r="B5" s="27" t="s">
        <v>2</v>
      </c>
      <c r="C5" s="29" t="s">
        <v>22</v>
      </c>
    </row>
    <row r="6" spans="1:3" ht="18">
      <c r="B6" s="27" t="s">
        <v>9</v>
      </c>
      <c r="C6" s="29">
        <v>20</v>
      </c>
    </row>
    <row r="7" spans="1:3" ht="18">
      <c r="B7" s="30" t="s">
        <v>16</v>
      </c>
      <c r="C7" s="31">
        <v>200000</v>
      </c>
    </row>
    <row r="8" spans="1:3" ht="18">
      <c r="B8" s="27" t="s">
        <v>10</v>
      </c>
      <c r="C8" s="29" t="s">
        <v>25</v>
      </c>
    </row>
    <row r="9" spans="1:3" ht="18">
      <c r="B9" s="27" t="s">
        <v>3</v>
      </c>
      <c r="C9" s="32">
        <v>0.2</v>
      </c>
    </row>
    <row r="10" spans="1:3" ht="18">
      <c r="B10" s="27" t="s">
        <v>4</v>
      </c>
      <c r="C10" s="32">
        <v>0.1</v>
      </c>
    </row>
    <row r="11" spans="1:3">
      <c r="C11" s="14"/>
    </row>
    <row r="12" spans="1:3">
      <c r="C12" s="14"/>
    </row>
    <row r="13" spans="1:3" ht="18">
      <c r="B13" s="18" t="s">
        <v>34</v>
      </c>
      <c r="C13" s="13">
        <f>Calc!B21</f>
        <v>77.413601474973945</v>
      </c>
    </row>
    <row r="14" spans="1:3">
      <c r="B14" s="44" t="s">
        <v>107</v>
      </c>
      <c r="C14" s="14"/>
    </row>
  </sheetData>
  <dataValidations count="7">
    <dataValidation type="list" allowBlank="1" showInputMessage="1" showErrorMessage="1" sqref="C4" xr:uid="{8B64A3A3-2C37-4918-B7C4-87FF88A1CAA4}">
      <formula1>"Male, Female"</formula1>
    </dataValidation>
    <dataValidation type="list" allowBlank="1" showInputMessage="1" showErrorMessage="1" sqref="C5" xr:uid="{E2046775-6B24-4380-A596-3145CC18650E}">
      <formula1>"NS, S"</formula1>
    </dataValidation>
    <dataValidation type="list" allowBlank="1" showInputMessage="1" showErrorMessage="1" sqref="C8" xr:uid="{1ACCE496-3C6C-41C3-B46E-ACBAD0946DE1}">
      <formula1>"Annual, Semi-Annual, Quarterly, Monthly"</formula1>
    </dataValidation>
    <dataValidation type="list" allowBlank="1" showInputMessage="1" showErrorMessage="1" sqref="C6" xr:uid="{4E6D31D5-BDE8-456C-8F7C-0229C928045A}">
      <formula1>"10, 20, 30"</formula1>
    </dataValidation>
    <dataValidation type="whole" allowBlank="1" showInputMessage="1" showErrorMessage="1" sqref="C3" xr:uid="{BD240EDC-B2BF-4527-AC50-783EF1FDB652}">
      <formula1>18</formula1>
      <formula2>80</formula2>
    </dataValidation>
    <dataValidation type="whole" errorStyle="warning" allowBlank="1" showInputMessage="1" showErrorMessage="1" error="Sum Assured must be at least RM10000." sqref="C7" xr:uid="{F2A7F565-7053-4B17-9E1C-629C9D72756B}">
      <formula1>10000</formula1>
      <formula2>1000000</formula2>
    </dataValidation>
    <dataValidation type="decimal" allowBlank="1" showInputMessage="1" showErrorMessage="1" error="Interest rate must be between 0% to 20%" sqref="C10" xr:uid="{DB9F881E-6D0D-4B7F-905F-A777F5B7016D}">
      <formula1>0</formula1>
      <formula2>0.2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calculatePremium">
                <anchor moveWithCells="1">
                  <from>
                    <xdr:col>1</xdr:col>
                    <xdr:colOff>0</xdr:colOff>
                    <xdr:row>15</xdr:row>
                    <xdr:rowOff>7620</xdr:rowOff>
                  </from>
                  <to>
                    <xdr:col>1</xdr:col>
                    <xdr:colOff>1569720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ClearInputs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1577340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StampDate">
                <anchor moveWithCells="1">
                  <from>
                    <xdr:col>1</xdr:col>
                    <xdr:colOff>7620</xdr:colOff>
                    <xdr:row>19</xdr:row>
                    <xdr:rowOff>7620</xdr:rowOff>
                  </from>
                  <to>
                    <xdr:col>1</xdr:col>
                    <xdr:colOff>1554480</xdr:colOff>
                    <xdr:row>20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C5A7-835B-4317-BD99-F19CC85869B1}">
  <sheetPr codeName="Sheet3"/>
  <dimension ref="A1:E64"/>
  <sheetViews>
    <sheetView workbookViewId="0">
      <pane ySplit="1" topLeftCell="A2" activePane="bottomLeft" state="frozen"/>
      <selection pane="bottomLeft" activeCell="E24" sqref="E24"/>
    </sheetView>
  </sheetViews>
  <sheetFormatPr defaultRowHeight="14.4"/>
  <cols>
    <col min="2" max="2" width="13.6640625" customWidth="1"/>
    <col min="3" max="3" width="17.6640625" customWidth="1"/>
    <col min="4" max="4" width="15.88671875" customWidth="1"/>
    <col min="5" max="5" width="19.88671875" customWidth="1"/>
  </cols>
  <sheetData>
    <row r="1" spans="1:5">
      <c r="A1" s="1" t="s">
        <v>0</v>
      </c>
      <c r="B1" s="1" t="s">
        <v>5</v>
      </c>
      <c r="C1" s="1" t="s">
        <v>7</v>
      </c>
      <c r="D1" s="1" t="s">
        <v>6</v>
      </c>
      <c r="E1" s="1" t="s">
        <v>8</v>
      </c>
    </row>
    <row r="2" spans="1:5">
      <c r="A2">
        <v>18</v>
      </c>
      <c r="B2" s="2">
        <f t="shared" ref="B2:B64" si="0">ROUND(1+(ROW(A2)-2)*0.05 +0.2, 2)</f>
        <v>1.2</v>
      </c>
      <c r="C2" s="2">
        <f t="shared" ref="C2:C64" si="1">B2*1.4</f>
        <v>1.68</v>
      </c>
      <c r="D2" s="2">
        <f t="shared" ref="D2" si="2">B2*0.85</f>
        <v>1.02</v>
      </c>
      <c r="E2" s="2">
        <f t="shared" ref="E2:E64" si="3">D2*1.4</f>
        <v>1.4279999999999999</v>
      </c>
    </row>
    <row r="3" spans="1:5">
      <c r="A3">
        <v>19</v>
      </c>
      <c r="B3" s="2">
        <f t="shared" si="0"/>
        <v>1.25</v>
      </c>
      <c r="C3" s="2">
        <f t="shared" si="1"/>
        <v>1.75</v>
      </c>
      <c r="D3" s="2">
        <f t="shared" ref="D3:D64" si="4">B3*0.85</f>
        <v>1.0625</v>
      </c>
      <c r="E3" s="2">
        <f t="shared" si="3"/>
        <v>1.4874999999999998</v>
      </c>
    </row>
    <row r="4" spans="1:5">
      <c r="A4">
        <v>20</v>
      </c>
      <c r="B4" s="2">
        <f t="shared" si="0"/>
        <v>1.3</v>
      </c>
      <c r="C4" s="2">
        <f t="shared" si="1"/>
        <v>1.8199999999999998</v>
      </c>
      <c r="D4" s="2">
        <f t="shared" si="4"/>
        <v>1.105</v>
      </c>
      <c r="E4" s="2">
        <f t="shared" si="3"/>
        <v>1.5469999999999999</v>
      </c>
    </row>
    <row r="5" spans="1:5">
      <c r="A5">
        <v>21</v>
      </c>
      <c r="B5" s="2">
        <f t="shared" si="0"/>
        <v>1.35</v>
      </c>
      <c r="C5" s="2">
        <f t="shared" si="1"/>
        <v>1.89</v>
      </c>
      <c r="D5" s="2">
        <f t="shared" si="4"/>
        <v>1.1475</v>
      </c>
      <c r="E5" s="2">
        <f t="shared" si="3"/>
        <v>1.6064999999999998</v>
      </c>
    </row>
    <row r="6" spans="1:5">
      <c r="A6">
        <v>22</v>
      </c>
      <c r="B6" s="2">
        <f t="shared" si="0"/>
        <v>1.4</v>
      </c>
      <c r="C6" s="2">
        <f t="shared" si="1"/>
        <v>1.9599999999999997</v>
      </c>
      <c r="D6" s="2">
        <f t="shared" si="4"/>
        <v>1.19</v>
      </c>
      <c r="E6" s="2">
        <f t="shared" si="3"/>
        <v>1.6659999999999999</v>
      </c>
    </row>
    <row r="7" spans="1:5">
      <c r="A7">
        <v>23</v>
      </c>
      <c r="B7" s="2">
        <f t="shared" si="0"/>
        <v>1.45</v>
      </c>
      <c r="C7" s="2">
        <f t="shared" si="1"/>
        <v>2.0299999999999998</v>
      </c>
      <c r="D7" s="2">
        <f t="shared" si="4"/>
        <v>1.2324999999999999</v>
      </c>
      <c r="E7" s="2">
        <f t="shared" si="3"/>
        <v>1.7254999999999998</v>
      </c>
    </row>
    <row r="8" spans="1:5">
      <c r="A8">
        <v>24</v>
      </c>
      <c r="B8" s="2">
        <f t="shared" si="0"/>
        <v>1.5</v>
      </c>
      <c r="C8" s="2">
        <f t="shared" si="1"/>
        <v>2.0999999999999996</v>
      </c>
      <c r="D8" s="2">
        <f t="shared" si="4"/>
        <v>1.2749999999999999</v>
      </c>
      <c r="E8" s="2">
        <f t="shared" si="3"/>
        <v>1.7849999999999997</v>
      </c>
    </row>
    <row r="9" spans="1:5">
      <c r="A9">
        <v>25</v>
      </c>
      <c r="B9" s="2">
        <f t="shared" si="0"/>
        <v>1.55</v>
      </c>
      <c r="C9" s="2">
        <f t="shared" si="1"/>
        <v>2.17</v>
      </c>
      <c r="D9" s="2">
        <f t="shared" si="4"/>
        <v>1.3174999999999999</v>
      </c>
      <c r="E9" s="2">
        <f t="shared" si="3"/>
        <v>1.8444999999999998</v>
      </c>
    </row>
    <row r="10" spans="1:5">
      <c r="A10">
        <v>26</v>
      </c>
      <c r="B10" s="2">
        <f t="shared" si="0"/>
        <v>1.6</v>
      </c>
      <c r="C10" s="2">
        <f t="shared" si="1"/>
        <v>2.2399999999999998</v>
      </c>
      <c r="D10" s="2">
        <f t="shared" si="4"/>
        <v>1.36</v>
      </c>
      <c r="E10" s="2">
        <f t="shared" si="3"/>
        <v>1.9039999999999999</v>
      </c>
    </row>
    <row r="11" spans="1:5">
      <c r="A11">
        <v>27</v>
      </c>
      <c r="B11" s="2">
        <f t="shared" si="0"/>
        <v>1.65</v>
      </c>
      <c r="C11" s="2">
        <f t="shared" si="1"/>
        <v>2.3099999999999996</v>
      </c>
      <c r="D11" s="2">
        <f t="shared" si="4"/>
        <v>1.4024999999999999</v>
      </c>
      <c r="E11" s="2">
        <f t="shared" si="3"/>
        <v>1.9634999999999996</v>
      </c>
    </row>
    <row r="12" spans="1:5">
      <c r="A12">
        <v>28</v>
      </c>
      <c r="B12" s="2">
        <f t="shared" si="0"/>
        <v>1.7</v>
      </c>
      <c r="C12" s="2">
        <f t="shared" si="1"/>
        <v>2.38</v>
      </c>
      <c r="D12" s="2">
        <f t="shared" si="4"/>
        <v>1.4449999999999998</v>
      </c>
      <c r="E12" s="2">
        <f t="shared" si="3"/>
        <v>2.0229999999999997</v>
      </c>
    </row>
    <row r="13" spans="1:5">
      <c r="A13">
        <v>29</v>
      </c>
      <c r="B13" s="2">
        <f t="shared" si="0"/>
        <v>1.75</v>
      </c>
      <c r="C13" s="2">
        <f t="shared" si="1"/>
        <v>2.4499999999999997</v>
      </c>
      <c r="D13" s="2">
        <f t="shared" si="4"/>
        <v>1.4875</v>
      </c>
      <c r="E13" s="2">
        <f t="shared" si="3"/>
        <v>2.0825</v>
      </c>
    </row>
    <row r="14" spans="1:5">
      <c r="A14">
        <v>30</v>
      </c>
      <c r="B14" s="2">
        <f t="shared" si="0"/>
        <v>1.8</v>
      </c>
      <c r="C14" s="2">
        <f t="shared" si="1"/>
        <v>2.52</v>
      </c>
      <c r="D14" s="2">
        <f t="shared" si="4"/>
        <v>1.53</v>
      </c>
      <c r="E14" s="2">
        <f t="shared" si="3"/>
        <v>2.1419999999999999</v>
      </c>
    </row>
    <row r="15" spans="1:5">
      <c r="A15">
        <v>31</v>
      </c>
      <c r="B15" s="2">
        <f t="shared" si="0"/>
        <v>1.85</v>
      </c>
      <c r="C15" s="2">
        <f t="shared" si="1"/>
        <v>2.59</v>
      </c>
      <c r="D15" s="2">
        <f t="shared" si="4"/>
        <v>1.5725</v>
      </c>
      <c r="E15" s="2">
        <f t="shared" si="3"/>
        <v>2.2014999999999998</v>
      </c>
    </row>
    <row r="16" spans="1:5">
      <c r="A16">
        <v>32</v>
      </c>
      <c r="B16" s="2">
        <f t="shared" si="0"/>
        <v>1.9</v>
      </c>
      <c r="C16" s="2">
        <f t="shared" si="1"/>
        <v>2.6599999999999997</v>
      </c>
      <c r="D16" s="2">
        <f t="shared" si="4"/>
        <v>1.615</v>
      </c>
      <c r="E16" s="2">
        <f t="shared" si="3"/>
        <v>2.2609999999999997</v>
      </c>
    </row>
    <row r="17" spans="1:5">
      <c r="A17">
        <v>33</v>
      </c>
      <c r="B17" s="2">
        <f t="shared" si="0"/>
        <v>1.95</v>
      </c>
      <c r="C17" s="2">
        <f t="shared" si="1"/>
        <v>2.73</v>
      </c>
      <c r="D17" s="2">
        <f t="shared" si="4"/>
        <v>1.6575</v>
      </c>
      <c r="E17" s="2">
        <f t="shared" si="3"/>
        <v>2.3205</v>
      </c>
    </row>
    <row r="18" spans="1:5">
      <c r="A18">
        <v>34</v>
      </c>
      <c r="B18" s="2">
        <f t="shared" si="0"/>
        <v>2</v>
      </c>
      <c r="C18" s="2">
        <f t="shared" si="1"/>
        <v>2.8</v>
      </c>
      <c r="D18" s="2">
        <f t="shared" si="4"/>
        <v>1.7</v>
      </c>
      <c r="E18" s="2">
        <f t="shared" si="3"/>
        <v>2.38</v>
      </c>
    </row>
    <row r="19" spans="1:5">
      <c r="A19">
        <v>35</v>
      </c>
      <c r="B19" s="2">
        <f t="shared" si="0"/>
        <v>2.0499999999999998</v>
      </c>
      <c r="C19" s="2">
        <f t="shared" si="1"/>
        <v>2.8699999999999997</v>
      </c>
      <c r="D19" s="2">
        <f t="shared" si="4"/>
        <v>1.7424999999999997</v>
      </c>
      <c r="E19" s="2">
        <f t="shared" si="3"/>
        <v>2.4394999999999993</v>
      </c>
    </row>
    <row r="20" spans="1:5">
      <c r="A20">
        <v>36</v>
      </c>
      <c r="B20" s="2">
        <f t="shared" si="0"/>
        <v>2.1</v>
      </c>
      <c r="C20" s="2">
        <f t="shared" si="1"/>
        <v>2.94</v>
      </c>
      <c r="D20" s="2">
        <f t="shared" si="4"/>
        <v>1.7849999999999999</v>
      </c>
      <c r="E20" s="2">
        <f t="shared" si="3"/>
        <v>2.4989999999999997</v>
      </c>
    </row>
    <row r="21" spans="1:5">
      <c r="A21">
        <v>37</v>
      </c>
      <c r="B21" s="2">
        <f t="shared" si="0"/>
        <v>2.15</v>
      </c>
      <c r="C21" s="2">
        <f t="shared" si="1"/>
        <v>3.01</v>
      </c>
      <c r="D21" s="2">
        <f t="shared" si="4"/>
        <v>1.8274999999999999</v>
      </c>
      <c r="E21" s="2">
        <f t="shared" si="3"/>
        <v>2.5584999999999996</v>
      </c>
    </row>
    <row r="22" spans="1:5">
      <c r="A22">
        <v>38</v>
      </c>
      <c r="B22" s="2">
        <f t="shared" si="0"/>
        <v>2.2000000000000002</v>
      </c>
      <c r="C22" s="2">
        <f t="shared" si="1"/>
        <v>3.08</v>
      </c>
      <c r="D22" s="2">
        <f t="shared" si="4"/>
        <v>1.87</v>
      </c>
      <c r="E22" s="2">
        <f t="shared" si="3"/>
        <v>2.6179999999999999</v>
      </c>
    </row>
    <row r="23" spans="1:5">
      <c r="A23">
        <v>39</v>
      </c>
      <c r="B23" s="2">
        <f t="shared" si="0"/>
        <v>2.25</v>
      </c>
      <c r="C23" s="2">
        <f t="shared" si="1"/>
        <v>3.15</v>
      </c>
      <c r="D23" s="2">
        <f t="shared" si="4"/>
        <v>1.9124999999999999</v>
      </c>
      <c r="E23" s="2">
        <f t="shared" si="3"/>
        <v>2.6774999999999998</v>
      </c>
    </row>
    <row r="24" spans="1:5">
      <c r="A24">
        <v>40</v>
      </c>
      <c r="B24" s="2">
        <f t="shared" si="0"/>
        <v>2.2999999999999998</v>
      </c>
      <c r="C24" s="2">
        <f t="shared" si="1"/>
        <v>3.2199999999999998</v>
      </c>
      <c r="D24" s="2">
        <f t="shared" si="4"/>
        <v>1.9549999999999998</v>
      </c>
      <c r="E24" s="2">
        <f t="shared" si="3"/>
        <v>2.7369999999999997</v>
      </c>
    </row>
    <row r="25" spans="1:5">
      <c r="A25">
        <v>41</v>
      </c>
      <c r="B25" s="2">
        <f t="shared" si="0"/>
        <v>2.35</v>
      </c>
      <c r="C25" s="2">
        <f t="shared" si="1"/>
        <v>3.29</v>
      </c>
      <c r="D25" s="2">
        <f t="shared" si="4"/>
        <v>1.9975000000000001</v>
      </c>
      <c r="E25" s="2">
        <f t="shared" si="3"/>
        <v>2.7965</v>
      </c>
    </row>
    <row r="26" spans="1:5">
      <c r="A26">
        <v>42</v>
      </c>
      <c r="B26" s="2">
        <f t="shared" si="0"/>
        <v>2.4</v>
      </c>
      <c r="C26" s="2">
        <f t="shared" si="1"/>
        <v>3.36</v>
      </c>
      <c r="D26" s="2">
        <f t="shared" si="4"/>
        <v>2.04</v>
      </c>
      <c r="E26" s="2">
        <f t="shared" si="3"/>
        <v>2.8559999999999999</v>
      </c>
    </row>
    <row r="27" spans="1:5">
      <c r="A27">
        <v>43</v>
      </c>
      <c r="B27" s="2">
        <f t="shared" si="0"/>
        <v>2.4500000000000002</v>
      </c>
      <c r="C27" s="2">
        <f t="shared" si="1"/>
        <v>3.43</v>
      </c>
      <c r="D27" s="2">
        <f t="shared" si="4"/>
        <v>2.0825</v>
      </c>
      <c r="E27" s="2">
        <f t="shared" si="3"/>
        <v>2.9154999999999998</v>
      </c>
    </row>
    <row r="28" spans="1:5">
      <c r="A28">
        <v>44</v>
      </c>
      <c r="B28" s="2">
        <f t="shared" si="0"/>
        <v>2.5</v>
      </c>
      <c r="C28" s="2">
        <f t="shared" si="1"/>
        <v>3.5</v>
      </c>
      <c r="D28" s="2">
        <f t="shared" si="4"/>
        <v>2.125</v>
      </c>
      <c r="E28" s="2">
        <f t="shared" si="3"/>
        <v>2.9749999999999996</v>
      </c>
    </row>
    <row r="29" spans="1:5">
      <c r="A29">
        <v>45</v>
      </c>
      <c r="B29" s="2">
        <f t="shared" si="0"/>
        <v>2.5499999999999998</v>
      </c>
      <c r="C29" s="2">
        <f t="shared" si="1"/>
        <v>3.5699999999999994</v>
      </c>
      <c r="D29" s="2">
        <f t="shared" si="4"/>
        <v>2.1675</v>
      </c>
      <c r="E29" s="2">
        <f t="shared" si="3"/>
        <v>3.0345</v>
      </c>
    </row>
    <row r="30" spans="1:5">
      <c r="A30">
        <v>46</v>
      </c>
      <c r="B30" s="2">
        <f t="shared" si="0"/>
        <v>2.6</v>
      </c>
      <c r="C30" s="2">
        <f t="shared" si="1"/>
        <v>3.6399999999999997</v>
      </c>
      <c r="D30" s="2">
        <f t="shared" si="4"/>
        <v>2.21</v>
      </c>
      <c r="E30" s="2">
        <f t="shared" si="3"/>
        <v>3.0939999999999999</v>
      </c>
    </row>
    <row r="31" spans="1:5">
      <c r="A31">
        <v>47</v>
      </c>
      <c r="B31" s="2">
        <f t="shared" si="0"/>
        <v>2.65</v>
      </c>
      <c r="C31" s="2">
        <f t="shared" si="1"/>
        <v>3.7099999999999995</v>
      </c>
      <c r="D31" s="2">
        <f t="shared" si="4"/>
        <v>2.2524999999999999</v>
      </c>
      <c r="E31" s="2">
        <f t="shared" si="3"/>
        <v>3.1534999999999997</v>
      </c>
    </row>
    <row r="32" spans="1:5">
      <c r="A32">
        <v>48</v>
      </c>
      <c r="B32" s="2">
        <f t="shared" si="0"/>
        <v>2.7</v>
      </c>
      <c r="C32" s="2">
        <f t="shared" si="1"/>
        <v>3.78</v>
      </c>
      <c r="D32" s="2">
        <f t="shared" si="4"/>
        <v>2.2949999999999999</v>
      </c>
      <c r="E32" s="2">
        <f t="shared" si="3"/>
        <v>3.2129999999999996</v>
      </c>
    </row>
    <row r="33" spans="1:5">
      <c r="A33">
        <v>49</v>
      </c>
      <c r="B33" s="2">
        <f t="shared" si="0"/>
        <v>2.75</v>
      </c>
      <c r="C33" s="2">
        <f t="shared" si="1"/>
        <v>3.8499999999999996</v>
      </c>
      <c r="D33" s="2">
        <f t="shared" si="4"/>
        <v>2.3374999999999999</v>
      </c>
      <c r="E33" s="2">
        <f t="shared" si="3"/>
        <v>3.2724999999999995</v>
      </c>
    </row>
    <row r="34" spans="1:5">
      <c r="A34">
        <v>50</v>
      </c>
      <c r="B34" s="2">
        <f t="shared" si="0"/>
        <v>2.8</v>
      </c>
      <c r="C34" s="2">
        <f t="shared" si="1"/>
        <v>3.9199999999999995</v>
      </c>
      <c r="D34" s="2">
        <f t="shared" si="4"/>
        <v>2.38</v>
      </c>
      <c r="E34" s="2">
        <f t="shared" si="3"/>
        <v>3.3319999999999999</v>
      </c>
    </row>
    <row r="35" spans="1:5">
      <c r="A35">
        <v>51</v>
      </c>
      <c r="B35" s="2">
        <f t="shared" si="0"/>
        <v>2.85</v>
      </c>
      <c r="C35" s="2">
        <f t="shared" si="1"/>
        <v>3.9899999999999998</v>
      </c>
      <c r="D35" s="2">
        <f t="shared" si="4"/>
        <v>2.4224999999999999</v>
      </c>
      <c r="E35" s="2">
        <f t="shared" si="3"/>
        <v>3.3914999999999997</v>
      </c>
    </row>
    <row r="36" spans="1:5">
      <c r="A36">
        <v>52</v>
      </c>
      <c r="B36" s="2">
        <f t="shared" si="0"/>
        <v>2.9</v>
      </c>
      <c r="C36" s="2">
        <f t="shared" si="1"/>
        <v>4.0599999999999996</v>
      </c>
      <c r="D36" s="2">
        <f t="shared" si="4"/>
        <v>2.4649999999999999</v>
      </c>
      <c r="E36" s="2">
        <f t="shared" si="3"/>
        <v>3.4509999999999996</v>
      </c>
    </row>
    <row r="37" spans="1:5">
      <c r="A37">
        <v>53</v>
      </c>
      <c r="B37" s="2">
        <f t="shared" si="0"/>
        <v>2.95</v>
      </c>
      <c r="C37" s="2">
        <f t="shared" si="1"/>
        <v>4.13</v>
      </c>
      <c r="D37" s="2">
        <f t="shared" si="4"/>
        <v>2.5075000000000003</v>
      </c>
      <c r="E37" s="2">
        <f t="shared" si="3"/>
        <v>3.5105</v>
      </c>
    </row>
    <row r="38" spans="1:5">
      <c r="A38">
        <v>54</v>
      </c>
      <c r="B38" s="2">
        <f t="shared" si="0"/>
        <v>3</v>
      </c>
      <c r="C38" s="2">
        <f t="shared" si="1"/>
        <v>4.1999999999999993</v>
      </c>
      <c r="D38" s="2">
        <f t="shared" si="4"/>
        <v>2.5499999999999998</v>
      </c>
      <c r="E38" s="2">
        <f t="shared" si="3"/>
        <v>3.5699999999999994</v>
      </c>
    </row>
    <row r="39" spans="1:5">
      <c r="A39">
        <v>55</v>
      </c>
      <c r="B39" s="2">
        <f t="shared" si="0"/>
        <v>3.05</v>
      </c>
      <c r="C39" s="2">
        <f t="shared" si="1"/>
        <v>4.2699999999999996</v>
      </c>
      <c r="D39" s="2">
        <f t="shared" si="4"/>
        <v>2.5924999999999998</v>
      </c>
      <c r="E39" s="2">
        <f t="shared" si="3"/>
        <v>3.6294999999999993</v>
      </c>
    </row>
    <row r="40" spans="1:5">
      <c r="A40">
        <v>56</v>
      </c>
      <c r="B40" s="2">
        <f t="shared" si="0"/>
        <v>3.1</v>
      </c>
      <c r="C40" s="2">
        <f t="shared" si="1"/>
        <v>4.34</v>
      </c>
      <c r="D40" s="2">
        <f t="shared" si="4"/>
        <v>2.6349999999999998</v>
      </c>
      <c r="E40" s="2">
        <f t="shared" si="3"/>
        <v>3.6889999999999996</v>
      </c>
    </row>
    <row r="41" spans="1:5">
      <c r="A41">
        <v>57</v>
      </c>
      <c r="B41" s="2">
        <f t="shared" si="0"/>
        <v>3.15</v>
      </c>
      <c r="C41" s="2">
        <f t="shared" si="1"/>
        <v>4.4099999999999993</v>
      </c>
      <c r="D41" s="2">
        <f t="shared" si="4"/>
        <v>2.6774999999999998</v>
      </c>
      <c r="E41" s="2">
        <f t="shared" si="3"/>
        <v>3.7484999999999995</v>
      </c>
    </row>
    <row r="42" spans="1:5">
      <c r="A42">
        <v>58</v>
      </c>
      <c r="B42" s="2">
        <f t="shared" si="0"/>
        <v>3.2</v>
      </c>
      <c r="C42" s="2">
        <f t="shared" si="1"/>
        <v>4.4799999999999995</v>
      </c>
      <c r="D42" s="2">
        <f t="shared" si="4"/>
        <v>2.72</v>
      </c>
      <c r="E42" s="2">
        <f t="shared" si="3"/>
        <v>3.8079999999999998</v>
      </c>
    </row>
    <row r="43" spans="1:5">
      <c r="A43">
        <v>59</v>
      </c>
      <c r="B43" s="2">
        <f t="shared" si="0"/>
        <v>3.25</v>
      </c>
      <c r="C43" s="2">
        <f t="shared" si="1"/>
        <v>4.55</v>
      </c>
      <c r="D43" s="2">
        <f t="shared" si="4"/>
        <v>2.7624999999999997</v>
      </c>
      <c r="E43" s="2">
        <f t="shared" si="3"/>
        <v>3.8674999999999993</v>
      </c>
    </row>
    <row r="44" spans="1:5">
      <c r="A44">
        <v>60</v>
      </c>
      <c r="B44" s="2">
        <f t="shared" si="0"/>
        <v>3.3</v>
      </c>
      <c r="C44" s="2">
        <f t="shared" si="1"/>
        <v>4.6199999999999992</v>
      </c>
      <c r="D44" s="2">
        <f t="shared" si="4"/>
        <v>2.8049999999999997</v>
      </c>
      <c r="E44" s="2">
        <f t="shared" si="3"/>
        <v>3.9269999999999992</v>
      </c>
    </row>
    <row r="45" spans="1:5">
      <c r="A45">
        <v>61</v>
      </c>
      <c r="B45" s="2">
        <f t="shared" si="0"/>
        <v>3.35</v>
      </c>
      <c r="C45" s="2">
        <f t="shared" si="1"/>
        <v>4.6899999999999995</v>
      </c>
      <c r="D45" s="2">
        <f t="shared" si="4"/>
        <v>2.8475000000000001</v>
      </c>
      <c r="E45" s="2">
        <f t="shared" si="3"/>
        <v>3.9864999999999999</v>
      </c>
    </row>
    <row r="46" spans="1:5">
      <c r="A46">
        <v>62</v>
      </c>
      <c r="B46" s="2">
        <f t="shared" si="0"/>
        <v>3.4</v>
      </c>
      <c r="C46" s="2">
        <f t="shared" si="1"/>
        <v>4.76</v>
      </c>
      <c r="D46" s="2">
        <f t="shared" si="4"/>
        <v>2.8899999999999997</v>
      </c>
      <c r="E46" s="2">
        <f t="shared" si="3"/>
        <v>4.0459999999999994</v>
      </c>
    </row>
    <row r="47" spans="1:5">
      <c r="A47">
        <v>63</v>
      </c>
      <c r="B47" s="2">
        <f t="shared" si="0"/>
        <v>3.45</v>
      </c>
      <c r="C47" s="2">
        <f t="shared" si="1"/>
        <v>4.83</v>
      </c>
      <c r="D47" s="2">
        <f t="shared" si="4"/>
        <v>2.9325000000000001</v>
      </c>
      <c r="E47" s="2">
        <f t="shared" si="3"/>
        <v>4.1055000000000001</v>
      </c>
    </row>
    <row r="48" spans="1:5">
      <c r="A48">
        <v>64</v>
      </c>
      <c r="B48" s="2">
        <f t="shared" si="0"/>
        <v>3.5</v>
      </c>
      <c r="C48" s="2">
        <f t="shared" si="1"/>
        <v>4.8999999999999995</v>
      </c>
      <c r="D48" s="2">
        <f t="shared" si="4"/>
        <v>2.9750000000000001</v>
      </c>
      <c r="E48" s="2">
        <f t="shared" si="3"/>
        <v>4.165</v>
      </c>
    </row>
    <row r="49" spans="1:5">
      <c r="A49">
        <v>65</v>
      </c>
      <c r="B49" s="2">
        <f t="shared" si="0"/>
        <v>3.55</v>
      </c>
      <c r="C49" s="2">
        <f t="shared" si="1"/>
        <v>4.97</v>
      </c>
      <c r="D49" s="2">
        <f t="shared" si="4"/>
        <v>3.0174999999999996</v>
      </c>
      <c r="E49" s="2">
        <f t="shared" si="3"/>
        <v>4.224499999999999</v>
      </c>
    </row>
    <row r="50" spans="1:5">
      <c r="A50">
        <v>66</v>
      </c>
      <c r="B50" s="2">
        <f t="shared" si="0"/>
        <v>3.6</v>
      </c>
      <c r="C50" s="2">
        <f t="shared" si="1"/>
        <v>5.04</v>
      </c>
      <c r="D50" s="2">
        <f t="shared" si="4"/>
        <v>3.06</v>
      </c>
      <c r="E50" s="2">
        <f t="shared" si="3"/>
        <v>4.2839999999999998</v>
      </c>
    </row>
    <row r="51" spans="1:5">
      <c r="A51">
        <v>67</v>
      </c>
      <c r="B51" s="2">
        <f t="shared" si="0"/>
        <v>3.65</v>
      </c>
      <c r="C51" s="2">
        <f t="shared" si="1"/>
        <v>5.1099999999999994</v>
      </c>
      <c r="D51" s="2">
        <f t="shared" si="4"/>
        <v>3.1025</v>
      </c>
      <c r="E51" s="2">
        <f t="shared" si="3"/>
        <v>4.3434999999999997</v>
      </c>
    </row>
    <row r="52" spans="1:5">
      <c r="A52">
        <v>68</v>
      </c>
      <c r="B52" s="2">
        <f t="shared" si="0"/>
        <v>3.7</v>
      </c>
      <c r="C52" s="2">
        <f t="shared" si="1"/>
        <v>5.18</v>
      </c>
      <c r="D52" s="2">
        <f t="shared" si="4"/>
        <v>3.145</v>
      </c>
      <c r="E52" s="2">
        <f t="shared" si="3"/>
        <v>4.4029999999999996</v>
      </c>
    </row>
    <row r="53" spans="1:5">
      <c r="A53">
        <v>69</v>
      </c>
      <c r="B53" s="2">
        <f t="shared" si="0"/>
        <v>3.75</v>
      </c>
      <c r="C53" s="2">
        <f t="shared" si="1"/>
        <v>5.25</v>
      </c>
      <c r="D53" s="2">
        <f t="shared" si="4"/>
        <v>3.1875</v>
      </c>
      <c r="E53" s="2">
        <f t="shared" si="3"/>
        <v>4.4624999999999995</v>
      </c>
    </row>
    <row r="54" spans="1:5">
      <c r="A54">
        <v>70</v>
      </c>
      <c r="B54" s="2">
        <f t="shared" si="0"/>
        <v>3.8</v>
      </c>
      <c r="C54" s="2">
        <f t="shared" si="1"/>
        <v>5.3199999999999994</v>
      </c>
      <c r="D54" s="2">
        <f t="shared" si="4"/>
        <v>3.23</v>
      </c>
      <c r="E54" s="2">
        <f t="shared" si="3"/>
        <v>4.5219999999999994</v>
      </c>
    </row>
    <row r="55" spans="1:5">
      <c r="A55">
        <v>71</v>
      </c>
      <c r="B55" s="2">
        <f t="shared" si="0"/>
        <v>3.85</v>
      </c>
      <c r="C55" s="2">
        <f t="shared" si="1"/>
        <v>5.39</v>
      </c>
      <c r="D55" s="2">
        <f t="shared" si="4"/>
        <v>3.2725</v>
      </c>
      <c r="E55" s="2">
        <f t="shared" si="3"/>
        <v>4.5814999999999992</v>
      </c>
    </row>
    <row r="56" spans="1:5">
      <c r="A56">
        <v>72</v>
      </c>
      <c r="B56" s="2">
        <f t="shared" si="0"/>
        <v>3.9</v>
      </c>
      <c r="C56" s="2">
        <f t="shared" si="1"/>
        <v>5.46</v>
      </c>
      <c r="D56" s="2">
        <f t="shared" si="4"/>
        <v>3.3149999999999999</v>
      </c>
      <c r="E56" s="2">
        <f t="shared" si="3"/>
        <v>4.641</v>
      </c>
    </row>
    <row r="57" spans="1:5">
      <c r="A57">
        <v>73</v>
      </c>
      <c r="B57" s="2">
        <f t="shared" si="0"/>
        <v>3.95</v>
      </c>
      <c r="C57" s="2">
        <f t="shared" si="1"/>
        <v>5.53</v>
      </c>
      <c r="D57" s="2">
        <f t="shared" si="4"/>
        <v>3.3574999999999999</v>
      </c>
      <c r="E57" s="2">
        <f t="shared" si="3"/>
        <v>4.7004999999999999</v>
      </c>
    </row>
    <row r="58" spans="1:5">
      <c r="A58">
        <v>74</v>
      </c>
      <c r="B58" s="2">
        <f t="shared" si="0"/>
        <v>4</v>
      </c>
      <c r="C58" s="2">
        <f t="shared" si="1"/>
        <v>5.6</v>
      </c>
      <c r="D58" s="2">
        <f t="shared" si="4"/>
        <v>3.4</v>
      </c>
      <c r="E58" s="2">
        <f t="shared" si="3"/>
        <v>4.76</v>
      </c>
    </row>
    <row r="59" spans="1:5">
      <c r="A59">
        <v>75</v>
      </c>
      <c r="B59" s="2">
        <f t="shared" si="0"/>
        <v>4.05</v>
      </c>
      <c r="C59" s="2">
        <f t="shared" si="1"/>
        <v>5.669999999999999</v>
      </c>
      <c r="D59" s="2">
        <f t="shared" si="4"/>
        <v>3.4424999999999999</v>
      </c>
      <c r="E59" s="2">
        <f t="shared" si="3"/>
        <v>4.8194999999999997</v>
      </c>
    </row>
    <row r="60" spans="1:5">
      <c r="A60">
        <v>76</v>
      </c>
      <c r="B60" s="2">
        <f t="shared" si="0"/>
        <v>4.0999999999999996</v>
      </c>
      <c r="C60" s="2">
        <f t="shared" si="1"/>
        <v>5.7399999999999993</v>
      </c>
      <c r="D60" s="2">
        <f t="shared" si="4"/>
        <v>3.4849999999999994</v>
      </c>
      <c r="E60" s="2">
        <f t="shared" si="3"/>
        <v>4.8789999999999987</v>
      </c>
    </row>
    <row r="61" spans="1:5">
      <c r="A61">
        <v>77</v>
      </c>
      <c r="B61" s="2">
        <f t="shared" si="0"/>
        <v>4.1500000000000004</v>
      </c>
      <c r="C61" s="2">
        <f t="shared" si="1"/>
        <v>5.8100000000000005</v>
      </c>
      <c r="D61" s="2">
        <f t="shared" si="4"/>
        <v>3.5275000000000003</v>
      </c>
      <c r="E61" s="2">
        <f t="shared" si="3"/>
        <v>4.9385000000000003</v>
      </c>
    </row>
    <row r="62" spans="1:5">
      <c r="A62">
        <v>78</v>
      </c>
      <c r="B62" s="2">
        <f t="shared" si="0"/>
        <v>4.2</v>
      </c>
      <c r="C62" s="2">
        <f t="shared" si="1"/>
        <v>5.88</v>
      </c>
      <c r="D62" s="2">
        <f t="shared" si="4"/>
        <v>3.57</v>
      </c>
      <c r="E62" s="2">
        <f t="shared" si="3"/>
        <v>4.9979999999999993</v>
      </c>
    </row>
    <row r="63" spans="1:5">
      <c r="A63">
        <v>79</v>
      </c>
      <c r="B63" s="2">
        <f t="shared" si="0"/>
        <v>4.25</v>
      </c>
      <c r="C63" s="2">
        <f t="shared" si="1"/>
        <v>5.9499999999999993</v>
      </c>
      <c r="D63" s="2">
        <f t="shared" si="4"/>
        <v>3.6124999999999998</v>
      </c>
      <c r="E63" s="2">
        <f t="shared" si="3"/>
        <v>5.0574999999999992</v>
      </c>
    </row>
    <row r="64" spans="1:5">
      <c r="A64">
        <v>80</v>
      </c>
      <c r="B64" s="2">
        <f t="shared" si="0"/>
        <v>4.3</v>
      </c>
      <c r="C64" s="2">
        <f t="shared" si="1"/>
        <v>6.02</v>
      </c>
      <c r="D64" s="2">
        <f t="shared" si="4"/>
        <v>3.6549999999999998</v>
      </c>
      <c r="E64" s="2">
        <f t="shared" si="3"/>
        <v>5.1169999999999991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AC7EC-5A35-471D-9762-49AA4DD06A32}">
  <sheetPr codeName="Sheet4"/>
  <dimension ref="A3:C21"/>
  <sheetViews>
    <sheetView workbookViewId="0">
      <selection activeCell="B16" sqref="B16"/>
    </sheetView>
  </sheetViews>
  <sheetFormatPr defaultRowHeight="14.4"/>
  <cols>
    <col min="1" max="1" width="36.77734375" customWidth="1"/>
    <col min="2" max="2" width="15.77734375" customWidth="1"/>
    <col min="8" max="8" width="30.77734375" customWidth="1"/>
  </cols>
  <sheetData>
    <row r="3" spans="1:3">
      <c r="A3" t="s">
        <v>0</v>
      </c>
      <c r="B3" s="5">
        <f>Inputs!C3</f>
        <v>25</v>
      </c>
      <c r="C3" s="5"/>
    </row>
    <row r="4" spans="1:3">
      <c r="A4" t="s">
        <v>1</v>
      </c>
      <c r="B4" s="2" t="str">
        <f>Inputs!C4</f>
        <v>Male</v>
      </c>
      <c r="C4" s="2"/>
    </row>
    <row r="5" spans="1:3">
      <c r="A5" t="s">
        <v>2</v>
      </c>
      <c r="B5" s="2" t="str">
        <f>Inputs!C5</f>
        <v>S</v>
      </c>
      <c r="C5" s="2"/>
    </row>
    <row r="6" spans="1:3">
      <c r="A6" t="s">
        <v>9</v>
      </c>
      <c r="B6" s="2">
        <f>Inputs!C6</f>
        <v>20</v>
      </c>
    </row>
    <row r="7" spans="1:3">
      <c r="A7" s="3" t="s">
        <v>16</v>
      </c>
      <c r="B7" s="2">
        <f>Inputs!C7</f>
        <v>200000</v>
      </c>
    </row>
    <row r="8" spans="1:3">
      <c r="A8" t="s">
        <v>10</v>
      </c>
      <c r="B8" s="2" t="str">
        <f>Inputs!C8</f>
        <v>Annual</v>
      </c>
    </row>
    <row r="9" spans="1:3">
      <c r="A9" t="s">
        <v>3</v>
      </c>
      <c r="B9" s="2">
        <f>Inputs!C9</f>
        <v>0.2</v>
      </c>
      <c r="C9" s="4"/>
    </row>
    <row r="10" spans="1:3">
      <c r="A10" t="s">
        <v>4</v>
      </c>
      <c r="B10" s="2">
        <f>Inputs!C10</f>
        <v>0.1</v>
      </c>
      <c r="C10" s="4"/>
    </row>
    <row r="13" spans="1:3">
      <c r="A13" t="s">
        <v>12</v>
      </c>
      <c r="B13">
        <f>INDEX(Rates!B2:E64, MATCH(VALUE(B3), Rates!A2:A64, 0), MATCH(TRIM(B4)&amp;"-"&amp;TRIM(B5), Rates!B1:E1, 0))</f>
        <v>2.17</v>
      </c>
    </row>
    <row r="14" spans="1:3">
      <c r="A14" t="s">
        <v>29</v>
      </c>
      <c r="B14">
        <f>1/(1+Inputs!C10)</f>
        <v>0.90909090909090906</v>
      </c>
    </row>
    <row r="15" spans="1:3">
      <c r="A15" t="s">
        <v>30</v>
      </c>
      <c r="B15">
        <f>B14 ^ (Inputs!C6)</f>
        <v>0.14864362802414352</v>
      </c>
    </row>
    <row r="16" spans="1:3">
      <c r="A16" s="1" t="s">
        <v>31</v>
      </c>
      <c r="B16">
        <f>B13 * (Inputs!C7/1000) * (1+Inputs!C9) * B15</f>
        <v>77.413601474973945</v>
      </c>
    </row>
    <row r="17" spans="1:2">
      <c r="A17" t="s">
        <v>33</v>
      </c>
      <c r="B17" cm="1">
        <f t="array" ref="B17">_xlfn.SWITCH(Inputs!C8,"Annual",1,"Semi-Annual",1/2,"Quarterly",1/4,"Monthly",1/12)</f>
        <v>1</v>
      </c>
    </row>
    <row r="18" spans="1:2">
      <c r="A18" s="1" t="s">
        <v>32</v>
      </c>
      <c r="B18">
        <f>B16*B17</f>
        <v>77.413601474973945</v>
      </c>
    </row>
    <row r="21" spans="1:2">
      <c r="A21" s="1" t="s">
        <v>109</v>
      </c>
      <c r="B21">
        <f>B18</f>
        <v>77.413601474973945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3FD4-DE90-49B1-9A58-6F8CC821458B}">
  <dimension ref="A1:B16"/>
  <sheetViews>
    <sheetView workbookViewId="0">
      <selection activeCell="F11" sqref="F11"/>
    </sheetView>
  </sheetViews>
  <sheetFormatPr defaultRowHeight="14.4"/>
  <cols>
    <col min="1" max="1" width="41.33203125" bestFit="1" customWidth="1"/>
    <col min="2" max="2" width="12.6640625" bestFit="1" customWidth="1"/>
  </cols>
  <sheetData>
    <row r="1" spans="1:2" ht="21">
      <c r="A1" s="45" t="s">
        <v>48</v>
      </c>
    </row>
    <row r="3" spans="1:2">
      <c r="A3" s="1" t="s">
        <v>37</v>
      </c>
    </row>
    <row r="4" spans="1:2">
      <c r="A4" t="s">
        <v>38</v>
      </c>
      <c r="B4">
        <v>25</v>
      </c>
    </row>
    <row r="5" spans="1:2">
      <c r="A5" t="s">
        <v>39</v>
      </c>
      <c r="B5" t="s">
        <v>17</v>
      </c>
    </row>
    <row r="6" spans="1:2">
      <c r="A6" t="s">
        <v>49</v>
      </c>
      <c r="B6" t="s">
        <v>22</v>
      </c>
    </row>
    <row r="7" spans="1:2">
      <c r="A7" t="s">
        <v>40</v>
      </c>
      <c r="B7" s="17">
        <v>200000</v>
      </c>
    </row>
    <row r="8" spans="1:2">
      <c r="A8" t="s">
        <v>41</v>
      </c>
      <c r="B8">
        <v>0.2</v>
      </c>
    </row>
    <row r="9" spans="1:2">
      <c r="A9" t="s">
        <v>42</v>
      </c>
      <c r="B9" t="s">
        <v>25</v>
      </c>
    </row>
    <row r="10" spans="1:2">
      <c r="A10" t="s">
        <v>43</v>
      </c>
      <c r="B10">
        <v>0.1</v>
      </c>
    </row>
    <row r="12" spans="1:2">
      <c r="A12" s="1" t="s">
        <v>44</v>
      </c>
    </row>
    <row r="13" spans="1:2">
      <c r="A13" t="s">
        <v>45</v>
      </c>
      <c r="B13">
        <v>2.17</v>
      </c>
    </row>
    <row r="14" spans="1:2">
      <c r="A14" t="s">
        <v>46</v>
      </c>
      <c r="B14" s="17">
        <v>77.41</v>
      </c>
    </row>
    <row r="15" spans="1:2">
      <c r="A15" t="s">
        <v>50</v>
      </c>
      <c r="B15" s="17">
        <v>77.41</v>
      </c>
    </row>
    <row r="16" spans="1:2">
      <c r="A16" t="s">
        <v>47</v>
      </c>
      <c r="B16" s="17">
        <v>1548.27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6B376-5641-4A9A-8B91-B609BADFB0E0}">
  <sheetPr codeName="Sheet5"/>
  <dimension ref="A1:F45"/>
  <sheetViews>
    <sheetView workbookViewId="0">
      <selection activeCell="K9" sqref="K9"/>
    </sheetView>
  </sheetViews>
  <sheetFormatPr defaultRowHeight="14.4"/>
  <cols>
    <col min="1" max="1" width="34.6640625" customWidth="1"/>
    <col min="2" max="2" width="28.6640625" customWidth="1"/>
    <col min="5" max="5" width="19.44140625" customWidth="1"/>
    <col min="6" max="6" width="17.21875" customWidth="1"/>
    <col min="7" max="7" width="19.77734375" customWidth="1"/>
    <col min="8" max="8" width="17.44140625" customWidth="1"/>
  </cols>
  <sheetData>
    <row r="1" spans="1:6" ht="17.399999999999999">
      <c r="A1" s="46" t="s">
        <v>21</v>
      </c>
      <c r="B1" s="46"/>
      <c r="C1" s="46"/>
      <c r="D1" s="46"/>
    </row>
    <row r="2" spans="1:6" ht="17.399999999999999">
      <c r="A2" s="12"/>
      <c r="B2" s="12" t="s">
        <v>36</v>
      </c>
      <c r="C2" s="12"/>
      <c r="D2" s="12"/>
    </row>
    <row r="3" spans="1:6" ht="17.399999999999999">
      <c r="A3" s="12"/>
      <c r="B3" s="12"/>
      <c r="C3" s="12"/>
      <c r="D3" s="12"/>
    </row>
    <row r="4" spans="1:6" ht="18">
      <c r="A4" s="47" t="s">
        <v>0</v>
      </c>
      <c r="B4" s="48">
        <f>Inputs!C3</f>
        <v>25</v>
      </c>
      <c r="E4" s="51" t="s">
        <v>10</v>
      </c>
      <c r="F4" s="53" t="s">
        <v>112</v>
      </c>
    </row>
    <row r="5" spans="1:6" ht="18">
      <c r="A5" s="47" t="s">
        <v>1</v>
      </c>
      <c r="B5" s="48" t="str">
        <f>Inputs!C4</f>
        <v>Male</v>
      </c>
      <c r="E5" s="52" t="s">
        <v>25</v>
      </c>
      <c r="F5" s="54">
        <f>Calc!B16</f>
        <v>77.413601474973945</v>
      </c>
    </row>
    <row r="6" spans="1:6" ht="18">
      <c r="A6" s="47" t="s">
        <v>11</v>
      </c>
      <c r="B6" s="48" t="str">
        <f>Inputs!C5</f>
        <v>S</v>
      </c>
      <c r="E6" s="52" t="s">
        <v>28</v>
      </c>
      <c r="F6" s="54">
        <f>Calc!B16/2</f>
        <v>38.706800737486972</v>
      </c>
    </row>
    <row r="7" spans="1:6" ht="18">
      <c r="A7" s="47" t="s">
        <v>9</v>
      </c>
      <c r="B7" s="48">
        <f>Inputs!C6</f>
        <v>20</v>
      </c>
      <c r="E7" s="52" t="s">
        <v>27</v>
      </c>
      <c r="F7" s="54">
        <f>Calc!B16/4</f>
        <v>19.353400368743486</v>
      </c>
    </row>
    <row r="8" spans="1:6" ht="18">
      <c r="A8" s="47" t="s">
        <v>16</v>
      </c>
      <c r="B8" s="49">
        <f>Inputs!C7</f>
        <v>200000</v>
      </c>
      <c r="E8" s="52" t="s">
        <v>26</v>
      </c>
      <c r="F8" s="54">
        <f>Calc!B16/12</f>
        <v>6.4511334562478284</v>
      </c>
    </row>
    <row r="9" spans="1:6" ht="18">
      <c r="A9" s="47" t="s">
        <v>10</v>
      </c>
      <c r="B9" s="48" t="str">
        <f>Inputs!C8</f>
        <v>Annual</v>
      </c>
    </row>
    <row r="10" spans="1:6" ht="18">
      <c r="A10" s="47" t="s">
        <v>110</v>
      </c>
      <c r="B10" s="50">
        <f>Inputs!C9</f>
        <v>0.2</v>
      </c>
    </row>
    <row r="11" spans="1:6" ht="18">
      <c r="A11" s="47" t="s">
        <v>111</v>
      </c>
      <c r="B11" s="50">
        <f>Inputs!C10</f>
        <v>0.1</v>
      </c>
    </row>
    <row r="12" spans="1:6" ht="18">
      <c r="A12" s="33"/>
      <c r="B12" s="33"/>
    </row>
    <row r="13" spans="1:6" ht="18">
      <c r="A13" s="34" t="s">
        <v>14</v>
      </c>
      <c r="B13" s="35">
        <f>Calc!B13</f>
        <v>2.17</v>
      </c>
    </row>
    <row r="14" spans="1:6" ht="18">
      <c r="A14" s="34" t="s">
        <v>15</v>
      </c>
      <c r="B14" s="36">
        <f>Calc!B16</f>
        <v>77.413601474973945</v>
      </c>
    </row>
    <row r="15" spans="1:6" ht="18">
      <c r="A15" s="34" t="s">
        <v>35</v>
      </c>
      <c r="B15" s="36">
        <f>Calc!B18</f>
        <v>77.413601474973945</v>
      </c>
    </row>
    <row r="16" spans="1:6" ht="18">
      <c r="A16" s="34" t="s">
        <v>20</v>
      </c>
      <c r="B16" s="36">
        <f>B14*B7</f>
        <v>1548.2720294994788</v>
      </c>
    </row>
    <row r="18" spans="1:2" ht="29.4" customHeight="1">
      <c r="A18" s="15" t="s">
        <v>13</v>
      </c>
      <c r="B18" s="16">
        <f>Calc!B18</f>
        <v>77.413601474973945</v>
      </c>
    </row>
    <row r="22" spans="1:2">
      <c r="A22" s="6"/>
    </row>
    <row r="41" spans="1:6">
      <c r="A41" s="7"/>
      <c r="B41" s="7"/>
      <c r="C41" s="7"/>
      <c r="D41" s="7"/>
      <c r="E41" s="7"/>
      <c r="F41" s="7"/>
    </row>
    <row r="42" spans="1:6">
      <c r="A42" s="8"/>
      <c r="B42" s="8"/>
      <c r="C42" s="8"/>
      <c r="D42" s="8"/>
      <c r="E42" s="8"/>
      <c r="F42" s="9"/>
    </row>
    <row r="43" spans="1:6">
      <c r="A43" s="8"/>
      <c r="B43" s="8"/>
      <c r="C43" s="8"/>
      <c r="D43" s="8"/>
      <c r="E43" s="8"/>
      <c r="F43" s="9"/>
    </row>
    <row r="44" spans="1:6">
      <c r="A44" s="8"/>
      <c r="B44" s="8"/>
      <c r="C44" s="8"/>
      <c r="D44" s="8"/>
      <c r="E44" s="8"/>
      <c r="F44" s="9"/>
    </row>
    <row r="45" spans="1:6">
      <c r="A45" s="8"/>
      <c r="B45" s="8"/>
      <c r="C45" s="8"/>
      <c r="D45" s="8"/>
      <c r="E45" s="8"/>
      <c r="F45" s="9"/>
    </row>
  </sheetData>
  <mergeCells count="1">
    <mergeCell ref="A1:D1"/>
  </mergeCells>
  <conditionalFormatting sqref="B4">
    <cfRule type="expression" dxfId="0" priority="1">
      <formula>OR(B4&lt;18, B4&gt;80)</formula>
    </cfRule>
    <cfRule type="expression" priority="3">
      <formula>OR(B4&lt;18, B4&gt;80)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teReport">
                <anchor moveWithCells="1">
                  <from>
                    <xdr:col>0</xdr:col>
                    <xdr:colOff>68580</xdr:colOff>
                    <xdr:row>19</xdr:row>
                    <xdr:rowOff>38100</xdr:rowOff>
                  </from>
                  <to>
                    <xdr:col>0</xdr:col>
                    <xdr:colOff>1386840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2B9B4-8BE7-4FB7-8153-7C65F414E15B}">
  <sheetPr codeName="Sheet6"/>
  <dimension ref="B18:C41"/>
  <sheetViews>
    <sheetView workbookViewId="0">
      <selection activeCell="E45" sqref="E45"/>
    </sheetView>
  </sheetViews>
  <sheetFormatPr defaultRowHeight="14.4"/>
  <cols>
    <col min="2" max="2" width="17.21875" customWidth="1"/>
    <col min="3" max="3" width="16.44140625" customWidth="1"/>
  </cols>
  <sheetData>
    <row r="18" spans="2:2">
      <c r="B18" s="10"/>
    </row>
    <row r="19" spans="2:2">
      <c r="B19" s="10"/>
    </row>
    <row r="34" spans="2:3">
      <c r="B34" s="11" t="s">
        <v>23</v>
      </c>
    </row>
    <row r="35" spans="2:3">
      <c r="B35" s="11" t="s">
        <v>24</v>
      </c>
    </row>
    <row r="37" spans="2:3">
      <c r="B37" s="1"/>
      <c r="C37" s="1"/>
    </row>
    <row r="38" spans="2:3">
      <c r="C38" s="2"/>
    </row>
    <row r="39" spans="2:3">
      <c r="C39" s="2"/>
    </row>
    <row r="40" spans="2:3">
      <c r="C40" s="2"/>
    </row>
    <row r="41" spans="2:3">
      <c r="C41" s="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A88C9-D8A6-46DB-BC6C-DAA0543290B1}">
  <sheetPr codeName="Sheet7"/>
  <dimension ref="A1:A68"/>
  <sheetViews>
    <sheetView workbookViewId="0">
      <selection activeCell="Q10" sqref="Q10"/>
    </sheetView>
  </sheetViews>
  <sheetFormatPr defaultRowHeight="14.4"/>
  <cols>
    <col min="1" max="1" width="14.44140625" customWidth="1"/>
  </cols>
  <sheetData>
    <row r="1" spans="1:1" ht="18">
      <c r="A1" s="19" t="s">
        <v>52</v>
      </c>
    </row>
    <row r="2" spans="1:1">
      <c r="A2" s="20" t="s">
        <v>53</v>
      </c>
    </row>
    <row r="3" spans="1:1">
      <c r="A3" s="20" t="s">
        <v>54</v>
      </c>
    </row>
    <row r="4" spans="1:1">
      <c r="A4" s="20" t="s">
        <v>55</v>
      </c>
    </row>
    <row r="5" spans="1:1">
      <c r="A5" s="20"/>
    </row>
    <row r="6" spans="1:1" ht="18">
      <c r="A6" s="19" t="s">
        <v>18</v>
      </c>
    </row>
    <row r="7" spans="1:1">
      <c r="A7" s="20" t="s">
        <v>56</v>
      </c>
    </row>
    <row r="8" spans="1:1">
      <c r="A8" s="20" t="s">
        <v>57</v>
      </c>
    </row>
    <row r="9" spans="1:1">
      <c r="A9" s="20" t="s">
        <v>58</v>
      </c>
    </row>
    <row r="10" spans="1:1">
      <c r="A10" s="20" t="s">
        <v>59</v>
      </c>
    </row>
    <row r="11" spans="1:1">
      <c r="A11" s="20" t="s">
        <v>60</v>
      </c>
    </row>
    <row r="12" spans="1:1">
      <c r="A12" s="21" t="s">
        <v>61</v>
      </c>
    </row>
    <row r="13" spans="1:1">
      <c r="A13" s="23" t="s">
        <v>63</v>
      </c>
    </row>
    <row r="14" spans="1:1">
      <c r="A14" s="23" t="s">
        <v>64</v>
      </c>
    </row>
    <row r="15" spans="1:1">
      <c r="A15" s="20" t="s">
        <v>62</v>
      </c>
    </row>
    <row r="16" spans="1:1">
      <c r="A16" s="20"/>
    </row>
    <row r="17" spans="1:1" ht="18">
      <c r="A17" s="19" t="s">
        <v>65</v>
      </c>
    </row>
    <row r="18" spans="1:1">
      <c r="A18" s="20" t="s">
        <v>66</v>
      </c>
    </row>
    <row r="19" spans="1:1">
      <c r="A19" s="20" t="s">
        <v>67</v>
      </c>
    </row>
    <row r="20" spans="1:1">
      <c r="A20" s="20" t="s">
        <v>68</v>
      </c>
    </row>
    <row r="21" spans="1:1">
      <c r="A21" s="20" t="s">
        <v>69</v>
      </c>
    </row>
    <row r="22" spans="1:1">
      <c r="A22" s="20" t="s">
        <v>70</v>
      </c>
    </row>
    <row r="23" spans="1:1">
      <c r="A23" s="20" t="s">
        <v>71</v>
      </c>
    </row>
    <row r="24" spans="1:1">
      <c r="A24" s="20" t="s">
        <v>72</v>
      </c>
    </row>
    <row r="25" spans="1:1">
      <c r="A25" s="23" t="s">
        <v>75</v>
      </c>
    </row>
    <row r="26" spans="1:1">
      <c r="A26" s="23" t="s">
        <v>74</v>
      </c>
    </row>
    <row r="27" spans="1:1">
      <c r="A27" s="23" t="s">
        <v>76</v>
      </c>
    </row>
    <row r="28" spans="1:1">
      <c r="A28" s="23" t="s">
        <v>77</v>
      </c>
    </row>
    <row r="29" spans="1:1">
      <c r="A29" s="20" t="s">
        <v>73</v>
      </c>
    </row>
    <row r="30" spans="1:1">
      <c r="A30" s="20"/>
    </row>
    <row r="31" spans="1:1" ht="18">
      <c r="A31" s="19" t="s">
        <v>78</v>
      </c>
    </row>
    <row r="32" spans="1:1">
      <c r="A32" s="20" t="s">
        <v>79</v>
      </c>
    </row>
    <row r="33" spans="1:1">
      <c r="A33" s="20" t="s">
        <v>80</v>
      </c>
    </row>
    <row r="34" spans="1:1">
      <c r="A34" s="20" t="s">
        <v>81</v>
      </c>
    </row>
    <row r="35" spans="1:1">
      <c r="A35" s="20" t="s">
        <v>82</v>
      </c>
    </row>
    <row r="36" spans="1:1">
      <c r="A36" s="20" t="s">
        <v>83</v>
      </c>
    </row>
    <row r="37" spans="1:1">
      <c r="A37" s="20"/>
    </row>
    <row r="38" spans="1:1" ht="18">
      <c r="A38" s="19" t="s">
        <v>19</v>
      </c>
    </row>
    <row r="39" spans="1:1">
      <c r="A39" s="21" t="s">
        <v>84</v>
      </c>
    </row>
    <row r="40" spans="1:1">
      <c r="A40" s="21" t="s">
        <v>85</v>
      </c>
    </row>
    <row r="41" spans="1:1">
      <c r="A41" s="21" t="s">
        <v>86</v>
      </c>
    </row>
    <row r="42" spans="1:1">
      <c r="A42" s="21" t="s">
        <v>87</v>
      </c>
    </row>
    <row r="43" spans="1:1">
      <c r="A43" s="21"/>
    </row>
    <row r="44" spans="1:1" ht="18">
      <c r="A44" s="19" t="s">
        <v>88</v>
      </c>
    </row>
    <row r="45" spans="1:1">
      <c r="A45" s="21" t="s">
        <v>89</v>
      </c>
    </row>
    <row r="46" spans="1:1">
      <c r="A46" s="22" t="s">
        <v>94</v>
      </c>
    </row>
    <row r="47" spans="1:1">
      <c r="A47" s="22" t="s">
        <v>90</v>
      </c>
    </row>
    <row r="48" spans="1:1">
      <c r="A48" s="22" t="s">
        <v>91</v>
      </c>
    </row>
    <row r="49" spans="1:1">
      <c r="A49" s="22" t="s">
        <v>92</v>
      </c>
    </row>
    <row r="50" spans="1:1">
      <c r="A50" s="21" t="s">
        <v>93</v>
      </c>
    </row>
    <row r="51" spans="1:1">
      <c r="A51" s="22" t="s">
        <v>94</v>
      </c>
    </row>
    <row r="52" spans="1:1">
      <c r="A52" s="21" t="s">
        <v>95</v>
      </c>
    </row>
    <row r="53" spans="1:1">
      <c r="A53" s="24" t="s">
        <v>96</v>
      </c>
    </row>
    <row r="54" spans="1:1">
      <c r="A54" s="22" t="s">
        <v>97</v>
      </c>
    </row>
    <row r="55" spans="1:1">
      <c r="A55" s="20"/>
    </row>
    <row r="56" spans="1:1">
      <c r="A56" s="21"/>
    </row>
    <row r="57" spans="1:1">
      <c r="A57" s="20"/>
    </row>
    <row r="58" spans="1:1">
      <c r="A58" s="20"/>
    </row>
    <row r="59" spans="1:1">
      <c r="A59" s="21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1"/>
    </row>
    <row r="65" spans="1:1">
      <c r="A65" s="22"/>
    </row>
    <row r="66" spans="1:1">
      <c r="A66" s="21"/>
    </row>
    <row r="67" spans="1:1">
      <c r="A67" s="24"/>
    </row>
    <row r="68" spans="1:1">
      <c r="A68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Cover</vt:lpstr>
      <vt:lpstr>Inputs</vt:lpstr>
      <vt:lpstr>Rates</vt:lpstr>
      <vt:lpstr>Calc</vt:lpstr>
      <vt:lpstr>Report</vt:lpstr>
      <vt:lpstr>Outputs</vt:lpstr>
      <vt:lpstr>Charts</vt:lpstr>
      <vt:lpstr>Notes</vt:lpstr>
      <vt:lpstr>Age</vt:lpstr>
      <vt:lpstr>Final_Premium</vt:lpstr>
      <vt:lpstr>Gender</vt:lpstr>
      <vt:lpstr>Interest_Rate</vt:lpstr>
      <vt:lpstr>Loading</vt:lpstr>
      <vt:lpstr>Payment_Mode</vt:lpstr>
      <vt:lpstr>Policy_Term</vt:lpstr>
      <vt:lpstr>Premium_Frequency</vt:lpstr>
      <vt:lpstr>RiskCategory</vt:lpstr>
      <vt:lpstr>Smoker</vt:lpstr>
      <vt:lpstr>Sum_Assured__RM</vt:lpstr>
      <vt:lpstr>Term__years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 Ahmad</dc:creator>
  <cp:lastModifiedBy>Arif Ahmad</cp:lastModifiedBy>
  <dcterms:created xsi:type="dcterms:W3CDTF">2025-09-07T08:12:52Z</dcterms:created>
  <dcterms:modified xsi:type="dcterms:W3CDTF">2025-09-27T05:13:19Z</dcterms:modified>
</cp:coreProperties>
</file>